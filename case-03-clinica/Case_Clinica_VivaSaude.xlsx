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61C2256-DE14-4427-8454-31A3317B84E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DOS_PROCEDIMENTOS" sheetId="1" r:id="rId1"/>
    <sheet name="HISTORICO_MENSAL" sheetId="2" r:id="rId2"/>
    <sheet name="RANKING_LUCRATIVIDADE" sheetId="3" r:id="rId3"/>
    <sheet name="INSIGH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3" l="1"/>
  <c r="G10" i="3"/>
  <c r="E10" i="3"/>
  <c r="H9" i="3"/>
  <c r="G9" i="3"/>
  <c r="E9" i="3"/>
  <c r="G8" i="3"/>
  <c r="H8" i="3" s="1"/>
  <c r="E8" i="3"/>
  <c r="H7" i="3"/>
  <c r="G7" i="3"/>
  <c r="E7" i="3"/>
  <c r="G6" i="3"/>
  <c r="H6" i="3" s="1"/>
  <c r="E6" i="3"/>
  <c r="G5" i="3"/>
  <c r="H5" i="3" s="1"/>
  <c r="E5" i="3"/>
  <c r="G4" i="3"/>
  <c r="H4" i="3" s="1"/>
  <c r="E4" i="3"/>
  <c r="G3" i="3"/>
  <c r="H3" i="3" s="1"/>
  <c r="E3" i="3"/>
  <c r="J12" i="2"/>
  <c r="H12" i="2"/>
  <c r="G12" i="2"/>
  <c r="J11" i="2"/>
  <c r="G11" i="2"/>
  <c r="H11" i="2" s="1"/>
  <c r="J10" i="2"/>
  <c r="G10" i="2"/>
  <c r="H10" i="2" s="1"/>
  <c r="J9" i="2"/>
  <c r="G9" i="2"/>
  <c r="H9" i="2" s="1"/>
  <c r="J8" i="2"/>
  <c r="G8" i="2"/>
  <c r="H8" i="2" s="1"/>
  <c r="J7" i="2"/>
  <c r="G7" i="2"/>
  <c r="H7" i="2" s="1"/>
  <c r="J6" i="2"/>
  <c r="G6" i="2"/>
  <c r="H6" i="2" s="1"/>
  <c r="J5" i="2"/>
  <c r="G5" i="2"/>
  <c r="H5" i="2" s="1"/>
  <c r="J4" i="2"/>
  <c r="G4" i="2"/>
  <c r="H4" i="2" s="1"/>
  <c r="J3" i="2"/>
  <c r="G3" i="2"/>
  <c r="H3" i="2" s="1"/>
  <c r="K10" i="1"/>
  <c r="L10" i="1" s="1"/>
  <c r="G10" i="1"/>
  <c r="F10" i="1"/>
  <c r="H10" i="1" s="1"/>
  <c r="I10" i="1" s="1"/>
  <c r="K9" i="1"/>
  <c r="L9" i="1" s="1"/>
  <c r="H9" i="1"/>
  <c r="I9" i="1" s="1"/>
  <c r="G9" i="1"/>
  <c r="F9" i="1"/>
  <c r="K8" i="1"/>
  <c r="L8" i="1" s="1"/>
  <c r="H8" i="1"/>
  <c r="I8" i="1" s="1"/>
  <c r="G8" i="1"/>
  <c r="F8" i="1"/>
  <c r="K7" i="1"/>
  <c r="L7" i="1" s="1"/>
  <c r="G7" i="1"/>
  <c r="F7" i="1"/>
  <c r="H7" i="1" s="1"/>
  <c r="I7" i="1" s="1"/>
  <c r="K6" i="1"/>
  <c r="L6" i="1" s="1"/>
  <c r="G6" i="1"/>
  <c r="F6" i="1"/>
  <c r="H6" i="1" s="1"/>
  <c r="I6" i="1" s="1"/>
  <c r="K5" i="1"/>
  <c r="L5" i="1" s="1"/>
  <c r="G5" i="1"/>
  <c r="F5" i="1"/>
  <c r="H5" i="1" s="1"/>
  <c r="I5" i="1" s="1"/>
  <c r="K4" i="1"/>
  <c r="L4" i="1" s="1"/>
  <c r="G4" i="1"/>
  <c r="F4" i="1"/>
  <c r="H4" i="1" s="1"/>
  <c r="I4" i="1" s="1"/>
  <c r="K3" i="1"/>
  <c r="L3" i="1" s="1"/>
  <c r="G3" i="1"/>
  <c r="G11" i="1" s="1"/>
  <c r="F3" i="1"/>
  <c r="H3" i="1" s="1"/>
  <c r="I3" i="1" l="1"/>
  <c r="H11" i="1"/>
  <c r="F11" i="1"/>
  <c r="I11" i="1" l="1"/>
</calcChain>
</file>

<file path=xl/sharedStrings.xml><?xml version="1.0" encoding="utf-8"?>
<sst xmlns="http://schemas.openxmlformats.org/spreadsheetml/2006/main" count="83" uniqueCount="64">
  <si>
    <t>CLÍNICA VIVA SAÚDE — Análise de Procedimentos | Outubro/2024</t>
  </si>
  <si>
    <t>Procedimento</t>
  </si>
  <si>
    <t>Area</t>
  </si>
  <si>
    <t>Qtd_Realizadas</t>
  </si>
  <si>
    <t>Ticket_Medio</t>
  </si>
  <si>
    <t>Custo_Direto</t>
  </si>
  <si>
    <t>Faturamento</t>
  </si>
  <si>
    <t>Custo_Total</t>
  </si>
  <si>
    <t>Lucro_Bruto</t>
  </si>
  <si>
    <t>Margem_Pct</t>
  </si>
  <si>
    <t>Duracao_Min</t>
  </si>
  <si>
    <t>Lucro_Por_Hora</t>
  </si>
  <si>
    <t>Rank_Lucro_Hora</t>
  </si>
  <si>
    <t>Massagem Relaxante</t>
  </si>
  <si>
    <t>Estética</t>
  </si>
  <si>
    <t>Fisioterapia Ortopédica</t>
  </si>
  <si>
    <t>Fisioterapia</t>
  </si>
  <si>
    <t>Drenagem Linfática</t>
  </si>
  <si>
    <t>Avaliação Postural</t>
  </si>
  <si>
    <t>Pilates Clínico</t>
  </si>
  <si>
    <t>Ultrassom Estético</t>
  </si>
  <si>
    <t>RPG</t>
  </si>
  <si>
    <t>Peeling Químico</t>
  </si>
  <si>
    <t>TOTAL</t>
  </si>
  <si>
    <t>CLÍNICA VIVA SAÚDE — Histórico Mensal | Jan–Out 2024</t>
  </si>
  <si>
    <t>Mes</t>
  </si>
  <si>
    <t>Ordem_Mes</t>
  </si>
  <si>
    <t>Custos_Fixos</t>
  </si>
  <si>
    <t>Custos_Variaveis</t>
  </si>
  <si>
    <t>Inadimplencia</t>
  </si>
  <si>
    <t>Resultado_Liquido</t>
  </si>
  <si>
    <t>Margem_Liquida</t>
  </si>
  <si>
    <t>Atendimentos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</si>
  <si>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</si>
  <si>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</si>
  <si>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</si>
  <si>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</si>
  <si>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</si>
  <si>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</si>
  <si>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</si>
  <si>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</si>
  <si>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</si>
  <si>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</si>
  <si>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RANKING DE LUCRATIVIDADE POR HORA DE SALA — Out/2024</t>
  </si>
  <si>
    <t>Rank</t>
  </si>
  <si>
    <t>Lucro_Unitario</t>
  </si>
  <si>
    <t>Qtd_Mes</t>
  </si>
  <si>
    <t>Lucro_Total_Mes</t>
  </si>
  <si>
    <t>Part_Lucro_Total</t>
  </si>
  <si>
    <t>INSIGHTS ESTRATÉGICOS — Clínica Viva Saúde</t>
  </si>
  <si>
    <t>Insight</t>
  </si>
  <si>
    <t>Descrição e Ação Recomendada</t>
  </si>
  <si>
    <t>INSIGHT 1 — Peeling Químico: R$224/hora, volume subutilizado</t>
  </si>
  <si>
    <t>Com 45 min de duração e lucro de R$168/sessão, o Peeling gera R$224/hora — o mais alto da clínica. Apenas 28 realizações no mês = potencial imenso. Uma sala poderia fazer 10 peelings/dia (6h de operação). AÇÃO: criar pacote '3 sessões de Peeling' com 10% de desconto para fidelizar e preencher agenda com o procedimento mais rentável.</t>
  </si>
  <si>
    <t>INSIGHT 2 — Massagem Relaxante: âncora do negócio</t>
  </si>
  <si>
    <t>84 atendimentos — maior volume — com R$82/hora de lucro e total de R$6.888/mês. É o produto que sustenta o fluxo de caixa. AÇÃO: criar programa de fidelidade 'compre 5 massagens, ganhe a 6ª' — com ticket de R$110, o custo da fidelização é de R$28 (custo direto) e o benefício é um cliente recorrente por 6 meses.</t>
  </si>
  <si>
    <t>INSIGHT 3 — Inadimplência crescendo: R$18.540 perdidos no ano</t>
  </si>
  <si>
    <t>De R$1.650 (jan) para R$2.300 (out) — crescimento de 39,4% vs 39,6% do faturamento. Aparentemente proporcional, mas em valores absolutos são R$18.540 acumulados que entraram na agenda e não no caixa. AÇÃO: cobrar 50% no agendamento via PIX; oferecer desconto de 5% para pagamento antecipado integral.</t>
  </si>
  <si>
    <t>INSIGHT 4 — Custos fixos diluídos: sinal de escala saudável</t>
  </si>
  <si>
    <t>R$14.800 de custo fixo representava 35,9% do faturamento em jan/24. Em out/24, é apenas 25,7%. Cada novo atendimento tem custo marginal baixo. AÇÃO: esse é o momento de investir em Google Ads e Instagram Ads — o retorno por real investido é o mais alto da história da clínica.</t>
  </si>
  <si>
    <t>INSIGHT 5 — Avaliação Postural: porta de entrada subexplorada</t>
  </si>
  <si>
    <t>54 avaliações realizadas com lucro de R$62/hora (2° lugar). Cada avaliação é uma oportunidade de vender pacote de fisioterapia. Se 40% dos 54 pacientes convertessem para pacote de 10 sessões (R$150 × 10 = R$1.500), seriam R$32.400 adicionais/mês. AÇÃO: criar protocolo padrão: toda avaliação postural termina com apresentação de pacote de fisioterapia.</t>
  </si>
  <si>
    <t>INSIGHT 6 — Resultado líquido quase dobrou em 10 meses</t>
  </si>
  <si>
    <t>De R$15.650 (jan) para R$27.840 (out) — crescimento de 77,9% no lucro real. A clínica está no seu melhor momento financeiro da história. AÇÃO: contratar 1 profissional part-time (20h/semana) focado em Peeling e Massagem nos horários de maior demanda — o ROI seria positivo já no primeiro mês.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</si>
</sst>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%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2F7FC"/>
      </patternFill>
    </fill>
    <fill>
      <patternFill patternType="solid">
        <fgColor rgb="FFF2F7FC"/>
        <bgColor rgb="FFFFFFFF"/>
      </patternFill>
    </fill>
    <fill>
      <patternFill patternType="solid">
        <fgColor rgb="FFDAA520"/>
        <bgColor rgb="FFCD7F32"/>
      </patternFill>
    </fill>
    <fill>
      <patternFill patternType="solid">
        <fgColor rgb="FFFFF9E6"/>
        <bgColor rgb="FFFFFFFF"/>
      </patternFill>
    </fill>
    <fill>
      <patternFill patternType="solid">
        <fgColor rgb="FFA8A8A8"/>
        <bgColor rgb="FF9999FF"/>
      </patternFill>
    </fill>
    <fill>
      <patternFill patternType="solid">
        <fgColor rgb="FFCD7F32"/>
        <bgColor rgb="FFDAA520"/>
      </patternFill>
    </fill>
    <fill>
      <patternFill patternType="solid">
        <fgColor rgb="FF4472C4"/>
        <b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165" fontId="3" fillId="7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F2F7FC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DAA520"/>
      <rgbColor rgb="FFCD7F32"/>
      <rgbColor rgb="FF666699"/>
      <rgbColor rgb="FFA8A8A8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tabSelected="1" zoomScaleNormal="100" workbookViewId="0">
      <selection sqref="A1:L1"/>
    </sheetView>
  </sheetViews>
  <sheetFormatPr defaultColWidth="8.6640625" defaultRowHeight="14.4" x14ac:dyDescent="0.3"/>
  <cols>
    <col min="1" max="1" width="26" customWidth="1"/>
    <col min="2" max="2" width="14" customWidth="1"/>
    <col min="3" max="3" width="15" customWidth="1"/>
    <col min="4" max="4" width="13" customWidth="1"/>
    <col min="5" max="6" width="14" customWidth="1"/>
    <col min="7" max="8" width="13" customWidth="1"/>
    <col min="9" max="9" width="12" customWidth="1"/>
    <col min="10" max="10" width="20.5546875" customWidth="1"/>
    <col min="11" max="11" width="16.77734375" customWidth="1"/>
    <col min="12" max="12" width="19.109375" customWidth="1"/>
  </cols>
  <sheetData>
    <row r="1" spans="1:12" ht="21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3">
      <c r="A3" s="3" t="s">
        <v>13</v>
      </c>
      <c r="B3" s="3" t="s">
        <v>14</v>
      </c>
      <c r="C3" s="3">
        <v>84</v>
      </c>
      <c r="D3" s="4">
        <v>110</v>
      </c>
      <c r="E3" s="4">
        <v>28</v>
      </c>
      <c r="F3" s="4">
        <f t="shared" ref="F3:F10" si="0">C3*D3</f>
        <v>9240</v>
      </c>
      <c r="G3" s="4">
        <f t="shared" ref="G3:G10" si="1">C3*E3</f>
        <v>2352</v>
      </c>
      <c r="H3" s="4">
        <f t="shared" ref="H3:H10" si="2">F3-G3</f>
        <v>6888</v>
      </c>
      <c r="I3" s="5">
        <f t="shared" ref="I3:I11" si="3">H3/F3</f>
        <v>0.74545454545454548</v>
      </c>
      <c r="J3" s="3">
        <v>60</v>
      </c>
      <c r="K3" s="4">
        <f t="shared" ref="K3:K10" si="4">(D3-E3)/J3*60</f>
        <v>82</v>
      </c>
      <c r="L3" s="3">
        <f>RANK(K3,K3:K10,0)</f>
        <v>8</v>
      </c>
    </row>
    <row r="4" spans="1:12" x14ac:dyDescent="0.3">
      <c r="A4" s="6" t="s">
        <v>15</v>
      </c>
      <c r="B4" s="6" t="s">
        <v>16</v>
      </c>
      <c r="C4" s="6">
        <v>72</v>
      </c>
      <c r="D4" s="7">
        <v>150</v>
      </c>
      <c r="E4" s="7">
        <v>48</v>
      </c>
      <c r="F4" s="7">
        <f t="shared" si="0"/>
        <v>10800</v>
      </c>
      <c r="G4" s="7">
        <f t="shared" si="1"/>
        <v>3456</v>
      </c>
      <c r="H4" s="7">
        <f t="shared" si="2"/>
        <v>7344</v>
      </c>
      <c r="I4" s="8">
        <f t="shared" si="3"/>
        <v>0.68</v>
      </c>
      <c r="J4" s="6">
        <v>60</v>
      </c>
      <c r="K4" s="7">
        <f t="shared" si="4"/>
        <v>102</v>
      </c>
      <c r="L4" s="6">
        <f>RANK(K4,K3:K10,0)</f>
        <v>5</v>
      </c>
    </row>
    <row r="5" spans="1:12" x14ac:dyDescent="0.3">
      <c r="A5" s="3" t="s">
        <v>17</v>
      </c>
      <c r="B5" s="3" t="s">
        <v>14</v>
      </c>
      <c r="C5" s="3">
        <v>58</v>
      </c>
      <c r="D5" s="4">
        <v>120</v>
      </c>
      <c r="E5" s="4">
        <v>32</v>
      </c>
      <c r="F5" s="4">
        <f t="shared" si="0"/>
        <v>6960</v>
      </c>
      <c r="G5" s="4">
        <f t="shared" si="1"/>
        <v>1856</v>
      </c>
      <c r="H5" s="4">
        <f t="shared" si="2"/>
        <v>5104</v>
      </c>
      <c r="I5" s="5">
        <f t="shared" si="3"/>
        <v>0.73333333333333328</v>
      </c>
      <c r="J5" s="3">
        <v>60</v>
      </c>
      <c r="K5" s="4">
        <f t="shared" si="4"/>
        <v>88</v>
      </c>
      <c r="L5" s="3">
        <f>RANK(K5,K3:K10,0)</f>
        <v>7</v>
      </c>
    </row>
    <row r="6" spans="1:12" x14ac:dyDescent="0.3">
      <c r="A6" s="6" t="s">
        <v>18</v>
      </c>
      <c r="B6" s="6" t="s">
        <v>16</v>
      </c>
      <c r="C6" s="6">
        <v>54</v>
      </c>
      <c r="D6" s="7">
        <v>80</v>
      </c>
      <c r="E6" s="7">
        <v>18</v>
      </c>
      <c r="F6" s="7">
        <f t="shared" si="0"/>
        <v>4320</v>
      </c>
      <c r="G6" s="7">
        <f t="shared" si="1"/>
        <v>972</v>
      </c>
      <c r="H6" s="7">
        <f t="shared" si="2"/>
        <v>3348</v>
      </c>
      <c r="I6" s="8">
        <f t="shared" si="3"/>
        <v>0.77500000000000002</v>
      </c>
      <c r="J6" s="6">
        <v>40</v>
      </c>
      <c r="K6" s="7">
        <f t="shared" si="4"/>
        <v>93</v>
      </c>
      <c r="L6" s="6">
        <f>RANK(K6,K3:K10,0)</f>
        <v>6</v>
      </c>
    </row>
    <row r="7" spans="1:12" x14ac:dyDescent="0.3">
      <c r="A7" s="3" t="s">
        <v>19</v>
      </c>
      <c r="B7" s="3" t="s">
        <v>16</v>
      </c>
      <c r="C7" s="3">
        <v>38</v>
      </c>
      <c r="D7" s="4">
        <v>130</v>
      </c>
      <c r="E7" s="4">
        <v>42</v>
      </c>
      <c r="F7" s="4">
        <f t="shared" si="0"/>
        <v>4940</v>
      </c>
      <c r="G7" s="4">
        <f t="shared" si="1"/>
        <v>1596</v>
      </c>
      <c r="H7" s="4">
        <f t="shared" si="2"/>
        <v>3344</v>
      </c>
      <c r="I7" s="5">
        <f t="shared" si="3"/>
        <v>0.67692307692307696</v>
      </c>
      <c r="J7" s="3">
        <v>50</v>
      </c>
      <c r="K7" s="4">
        <f t="shared" si="4"/>
        <v>105.6</v>
      </c>
      <c r="L7" s="3">
        <f>RANK(K7,K3:K10,0)</f>
        <v>4</v>
      </c>
    </row>
    <row r="8" spans="1:12" x14ac:dyDescent="0.3">
      <c r="A8" s="6" t="s">
        <v>20</v>
      </c>
      <c r="B8" s="6" t="s">
        <v>14</v>
      </c>
      <c r="C8" s="6">
        <v>46</v>
      </c>
      <c r="D8" s="7">
        <v>180</v>
      </c>
      <c r="E8" s="7">
        <v>55</v>
      </c>
      <c r="F8" s="7">
        <f t="shared" si="0"/>
        <v>8280</v>
      </c>
      <c r="G8" s="7">
        <f t="shared" si="1"/>
        <v>2530</v>
      </c>
      <c r="H8" s="7">
        <f t="shared" si="2"/>
        <v>5750</v>
      </c>
      <c r="I8" s="8">
        <f t="shared" si="3"/>
        <v>0.69444444444444442</v>
      </c>
      <c r="J8" s="6">
        <v>50</v>
      </c>
      <c r="K8" s="7">
        <f t="shared" si="4"/>
        <v>150</v>
      </c>
      <c r="L8" s="6">
        <f>RANK(K8,K3:K10,0)</f>
        <v>2</v>
      </c>
    </row>
    <row r="9" spans="1:12" x14ac:dyDescent="0.3">
      <c r="A9" s="3" t="s">
        <v>21</v>
      </c>
      <c r="B9" s="3" t="s">
        <v>16</v>
      </c>
      <c r="C9" s="3">
        <v>30</v>
      </c>
      <c r="D9" s="4">
        <v>200</v>
      </c>
      <c r="E9" s="4">
        <v>65</v>
      </c>
      <c r="F9" s="4">
        <f t="shared" si="0"/>
        <v>6000</v>
      </c>
      <c r="G9" s="4">
        <f t="shared" si="1"/>
        <v>1950</v>
      </c>
      <c r="H9" s="4">
        <f t="shared" si="2"/>
        <v>4050</v>
      </c>
      <c r="I9" s="5">
        <f t="shared" si="3"/>
        <v>0.67500000000000004</v>
      </c>
      <c r="J9" s="3">
        <v>60</v>
      </c>
      <c r="K9" s="4">
        <f t="shared" si="4"/>
        <v>135</v>
      </c>
      <c r="L9" s="3">
        <f>RANK(K9,K3:K10,0)</f>
        <v>3</v>
      </c>
    </row>
    <row r="10" spans="1:12" x14ac:dyDescent="0.3">
      <c r="A10" s="6" t="s">
        <v>22</v>
      </c>
      <c r="B10" s="6" t="s">
        <v>14</v>
      </c>
      <c r="C10" s="6">
        <v>28</v>
      </c>
      <c r="D10" s="7">
        <v>250</v>
      </c>
      <c r="E10" s="7">
        <v>82</v>
      </c>
      <c r="F10" s="7">
        <f t="shared" si="0"/>
        <v>7000</v>
      </c>
      <c r="G10" s="7">
        <f t="shared" si="1"/>
        <v>2296</v>
      </c>
      <c r="H10" s="7">
        <f t="shared" si="2"/>
        <v>4704</v>
      </c>
      <c r="I10" s="8">
        <f t="shared" si="3"/>
        <v>0.67200000000000004</v>
      </c>
      <c r="J10" s="6">
        <v>45</v>
      </c>
      <c r="K10" s="7">
        <f t="shared" si="4"/>
        <v>224</v>
      </c>
      <c r="L10" s="6">
        <f>RANK(K10,K3:K10,0)</f>
        <v>1</v>
      </c>
    </row>
    <row r="11" spans="1:12" x14ac:dyDescent="0.3">
      <c r="A11" s="9" t="s">
        <v>23</v>
      </c>
      <c r="B11" s="9"/>
      <c r="C11" s="9"/>
      <c r="D11" s="9"/>
      <c r="E11" s="9"/>
      <c r="F11" s="10">
        <f>SUM(F3:F10)</f>
        <v>57540</v>
      </c>
      <c r="G11" s="10">
        <f>SUM(G3:G10)</f>
        <v>17008</v>
      </c>
      <c r="H11" s="10">
        <f>SUM(H3:H10)</f>
        <v>40532</v>
      </c>
      <c r="I11" s="11">
        <f t="shared" si="3"/>
        <v>0.70441432047271468</v>
      </c>
      <c r="J11" s="9"/>
      <c r="K11" s="9"/>
      <c r="L11" s="9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showGridLines="0" zoomScaleNormal="100" workbookViewId="0">
      <selection sqref="A1:J1"/>
    </sheetView>
  </sheetViews>
  <sheetFormatPr defaultColWidth="8.6640625" defaultRowHeight="14.4" x14ac:dyDescent="0.3"/>
  <cols>
    <col min="1" max="1" width="10" customWidth="1"/>
    <col min="2" max="2" width="12.5546875" customWidth="1"/>
    <col min="3" max="3" width="15" customWidth="1"/>
    <col min="4" max="4" width="14" customWidth="1"/>
    <col min="5" max="5" width="17" customWidth="1"/>
    <col min="6" max="6" width="14" customWidth="1"/>
    <col min="7" max="7" width="17" customWidth="1"/>
    <col min="8" max="8" width="15" customWidth="1"/>
    <col min="9" max="10" width="13" customWidth="1"/>
  </cols>
  <sheetData>
    <row r="1" spans="1:10" ht="21.75" customHeight="1" x14ac:dyDescent="0.3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3">
      <c r="A2" s="2" t="s">
        <v>25</v>
      </c>
      <c r="B2" s="2" t="s">
        <v>26</v>
      </c>
      <c r="C2" s="2" t="s">
        <v>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4</v>
      </c>
    </row>
    <row r="3" spans="1:10" x14ac:dyDescent="0.3">
      <c r="A3" s="3" t="s">
        <v>33</v>
      </c>
      <c r="B3" s="3">
        <v>1</v>
      </c>
      <c r="C3" s="4">
        <v>41200</v>
      </c>
      <c r="D3" s="4">
        <v>14800</v>
      </c>
      <c r="E3" s="4">
        <v>9100</v>
      </c>
      <c r="F3" s="4">
        <v>1650</v>
      </c>
      <c r="G3" s="4">
        <f t="shared" ref="G3:G12" si="0">C3-D3-E3-F3</f>
        <v>15650</v>
      </c>
      <c r="H3" s="5">
        <f t="shared" ref="H3:H12" si="1">G3/C3</f>
        <v>0.37985436893203883</v>
      </c>
      <c r="I3" s="3">
        <v>412</v>
      </c>
      <c r="J3" s="4">
        <f t="shared" ref="J3:J12" si="2">ROUND(C3/I3,2)</f>
        <v>100</v>
      </c>
    </row>
    <row r="4" spans="1:10" x14ac:dyDescent="0.3">
      <c r="A4" s="6" t="s">
        <v>34</v>
      </c>
      <c r="B4" s="6">
        <v>2</v>
      </c>
      <c r="C4" s="7">
        <v>38600</v>
      </c>
      <c r="D4" s="7">
        <v>14800</v>
      </c>
      <c r="E4" s="7">
        <v>8500</v>
      </c>
      <c r="F4" s="7">
        <v>1540</v>
      </c>
      <c r="G4" s="7">
        <f t="shared" si="0"/>
        <v>13760</v>
      </c>
      <c r="H4" s="8">
        <f t="shared" si="1"/>
        <v>0.35647668393782384</v>
      </c>
      <c r="I4" s="6">
        <v>386</v>
      </c>
      <c r="J4" s="7">
        <f t="shared" si="2"/>
        <v>100</v>
      </c>
    </row>
    <row r="5" spans="1:10" x14ac:dyDescent="0.3">
      <c r="A5" s="3" t="s">
        <v>35</v>
      </c>
      <c r="B5" s="3">
        <v>3</v>
      </c>
      <c r="C5" s="4">
        <v>44100</v>
      </c>
      <c r="D5" s="4">
        <v>14800</v>
      </c>
      <c r="E5" s="4">
        <v>9700</v>
      </c>
      <c r="F5" s="4">
        <v>1760</v>
      </c>
      <c r="G5" s="4">
        <f t="shared" si="0"/>
        <v>17840</v>
      </c>
      <c r="H5" s="5">
        <f t="shared" si="1"/>
        <v>0.40453514739229024</v>
      </c>
      <c r="I5" s="3">
        <v>441</v>
      </c>
      <c r="J5" s="4">
        <f t="shared" si="2"/>
        <v>100</v>
      </c>
    </row>
    <row r="6" spans="1:10" x14ac:dyDescent="0.3">
      <c r="A6" s="6" t="s">
        <v>36</v>
      </c>
      <c r="B6" s="6">
        <v>4</v>
      </c>
      <c r="C6" s="7">
        <v>46800</v>
      </c>
      <c r="D6" s="7">
        <v>14800</v>
      </c>
      <c r="E6" s="7">
        <v>10300</v>
      </c>
      <c r="F6" s="7">
        <v>1870</v>
      </c>
      <c r="G6" s="7">
        <f t="shared" si="0"/>
        <v>19830</v>
      </c>
      <c r="H6" s="8">
        <f t="shared" si="1"/>
        <v>0.42371794871794871</v>
      </c>
      <c r="I6" s="6">
        <v>468</v>
      </c>
      <c r="J6" s="7">
        <f t="shared" si="2"/>
        <v>100</v>
      </c>
    </row>
    <row r="7" spans="1:10" x14ac:dyDescent="0.3">
      <c r="A7" s="3" t="s">
        <v>37</v>
      </c>
      <c r="B7" s="3">
        <v>5</v>
      </c>
      <c r="C7" s="4">
        <v>43200</v>
      </c>
      <c r="D7" s="4">
        <v>14800</v>
      </c>
      <c r="E7" s="4">
        <v>9500</v>
      </c>
      <c r="F7" s="4">
        <v>1730</v>
      </c>
      <c r="G7" s="4">
        <f t="shared" si="0"/>
        <v>17170</v>
      </c>
      <c r="H7" s="5">
        <f t="shared" si="1"/>
        <v>0.3974537037037037</v>
      </c>
      <c r="I7" s="3">
        <v>432</v>
      </c>
      <c r="J7" s="4">
        <f t="shared" si="2"/>
        <v>100</v>
      </c>
    </row>
    <row r="8" spans="1:10" x14ac:dyDescent="0.3">
      <c r="A8" s="6" t="s">
        <v>38</v>
      </c>
      <c r="B8" s="6">
        <v>6</v>
      </c>
      <c r="C8" s="7">
        <v>40100</v>
      </c>
      <c r="D8" s="7">
        <v>14800</v>
      </c>
      <c r="E8" s="7">
        <v>8800</v>
      </c>
      <c r="F8" s="7">
        <v>1600</v>
      </c>
      <c r="G8" s="7">
        <f t="shared" si="0"/>
        <v>14900</v>
      </c>
      <c r="H8" s="8">
        <f t="shared" si="1"/>
        <v>0.371571072319202</v>
      </c>
      <c r="I8" s="6">
        <v>401</v>
      </c>
      <c r="J8" s="7">
        <f t="shared" si="2"/>
        <v>100</v>
      </c>
    </row>
    <row r="9" spans="1:10" x14ac:dyDescent="0.3">
      <c r="A9" s="3" t="s">
        <v>39</v>
      </c>
      <c r="B9" s="3">
        <v>7</v>
      </c>
      <c r="C9" s="4">
        <v>47600</v>
      </c>
      <c r="D9" s="4">
        <v>14800</v>
      </c>
      <c r="E9" s="4">
        <v>10500</v>
      </c>
      <c r="F9" s="4">
        <v>1900</v>
      </c>
      <c r="G9" s="4">
        <f t="shared" si="0"/>
        <v>20400</v>
      </c>
      <c r="H9" s="5">
        <f t="shared" si="1"/>
        <v>0.42857142857142855</v>
      </c>
      <c r="I9" s="3">
        <v>476</v>
      </c>
      <c r="J9" s="4">
        <f t="shared" si="2"/>
        <v>100</v>
      </c>
    </row>
    <row r="10" spans="1:10" x14ac:dyDescent="0.3">
      <c r="A10" s="6" t="s">
        <v>40</v>
      </c>
      <c r="B10" s="6">
        <v>8</v>
      </c>
      <c r="C10" s="7">
        <v>51200</v>
      </c>
      <c r="D10" s="7">
        <v>14800</v>
      </c>
      <c r="E10" s="7">
        <v>11300</v>
      </c>
      <c r="F10" s="7">
        <v>2050</v>
      </c>
      <c r="G10" s="7">
        <f t="shared" si="0"/>
        <v>23050</v>
      </c>
      <c r="H10" s="8">
        <f t="shared" si="1"/>
        <v>0.4501953125</v>
      </c>
      <c r="I10" s="6">
        <v>512</v>
      </c>
      <c r="J10" s="7">
        <f t="shared" si="2"/>
        <v>100</v>
      </c>
    </row>
    <row r="11" spans="1:10" x14ac:dyDescent="0.3">
      <c r="A11" s="3" t="s">
        <v>41</v>
      </c>
      <c r="B11" s="3">
        <v>9</v>
      </c>
      <c r="C11" s="4">
        <v>53800</v>
      </c>
      <c r="D11" s="4">
        <v>14800</v>
      </c>
      <c r="E11" s="4">
        <v>11800</v>
      </c>
      <c r="F11" s="4">
        <v>2150</v>
      </c>
      <c r="G11" s="4">
        <f t="shared" si="0"/>
        <v>25050</v>
      </c>
      <c r="H11" s="5">
        <f t="shared" si="1"/>
        <v>0.46561338289962823</v>
      </c>
      <c r="I11" s="3">
        <v>538</v>
      </c>
      <c r="J11" s="4">
        <f t="shared" si="2"/>
        <v>100</v>
      </c>
    </row>
    <row r="12" spans="1:10" x14ac:dyDescent="0.3">
      <c r="A12" s="6" t="s">
        <v>42</v>
      </c>
      <c r="B12" s="6">
        <v>10</v>
      </c>
      <c r="C12" s="7">
        <v>57540</v>
      </c>
      <c r="D12" s="7">
        <v>14800</v>
      </c>
      <c r="E12" s="7">
        <v>12600</v>
      </c>
      <c r="F12" s="7">
        <v>2300</v>
      </c>
      <c r="G12" s="7">
        <f t="shared" si="0"/>
        <v>27840</v>
      </c>
      <c r="H12" s="8">
        <f t="shared" si="1"/>
        <v>0.48383733055265904</v>
      </c>
      <c r="I12" s="6">
        <v>574</v>
      </c>
      <c r="J12" s="7">
        <f t="shared" si="2"/>
        <v>100.24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6" customWidth="1"/>
    <col min="2" max="2" width="26" customWidth="1"/>
    <col min="3" max="3" width="15" customWidth="1"/>
    <col min="4" max="4" width="13" customWidth="1"/>
    <col min="5" max="5" width="16" customWidth="1"/>
    <col min="6" max="6" width="10" customWidth="1"/>
    <col min="7" max="8" width="18" customWidth="1"/>
  </cols>
  <sheetData>
    <row r="1" spans="1:8" ht="21.75" customHeight="1" x14ac:dyDescent="0.3">
      <c r="A1" s="1" t="s">
        <v>43</v>
      </c>
      <c r="B1" s="1"/>
      <c r="C1" s="1"/>
      <c r="D1" s="1"/>
      <c r="E1" s="1"/>
      <c r="F1" s="1"/>
      <c r="G1" s="1"/>
      <c r="H1" s="1"/>
    </row>
    <row r="2" spans="1:8" ht="30" customHeight="1" x14ac:dyDescent="0.3">
      <c r="A2" s="2" t="s">
        <v>44</v>
      </c>
      <c r="B2" s="2" t="s">
        <v>1</v>
      </c>
      <c r="C2" s="2" t="s">
        <v>45</v>
      </c>
      <c r="D2" s="2" t="s">
        <v>10</v>
      </c>
      <c r="E2" s="2" t="s">
        <v>11</v>
      </c>
      <c r="F2" s="2" t="s">
        <v>46</v>
      </c>
      <c r="G2" s="2" t="s">
        <v>47</v>
      </c>
      <c r="H2" s="2" t="s">
        <v>48</v>
      </c>
    </row>
    <row r="3" spans="1:8" x14ac:dyDescent="0.3">
      <c r="A3" s="12">
        <v>1</v>
      </c>
      <c r="B3" s="13" t="s">
        <v>22</v>
      </c>
      <c r="C3" s="14">
        <v>168</v>
      </c>
      <c r="D3" s="13">
        <v>45</v>
      </c>
      <c r="E3" s="14">
        <f t="shared" ref="E3:E10" si="0">C3/D3*60</f>
        <v>224</v>
      </c>
      <c r="F3" s="13">
        <v>28</v>
      </c>
      <c r="G3" s="14">
        <f t="shared" ref="G3:G10" si="1">C3*F3</f>
        <v>4704</v>
      </c>
      <c r="H3" s="15">
        <f t="shared" ref="H3:H10" si="2">G3/40532</f>
        <v>0.11605644922530346</v>
      </c>
    </row>
    <row r="4" spans="1:8" x14ac:dyDescent="0.3">
      <c r="A4" s="16">
        <v>2</v>
      </c>
      <c r="B4" s="13" t="s">
        <v>20</v>
      </c>
      <c r="C4" s="14">
        <v>125</v>
      </c>
      <c r="D4" s="13">
        <v>50</v>
      </c>
      <c r="E4" s="14">
        <f t="shared" si="0"/>
        <v>150</v>
      </c>
      <c r="F4" s="13">
        <v>46</v>
      </c>
      <c r="G4" s="14">
        <f t="shared" si="1"/>
        <v>5750</v>
      </c>
      <c r="H4" s="15">
        <f t="shared" si="2"/>
        <v>0.1418632191848416</v>
      </c>
    </row>
    <row r="5" spans="1:8" x14ac:dyDescent="0.3">
      <c r="A5" s="17">
        <v>3</v>
      </c>
      <c r="B5" s="13" t="s">
        <v>21</v>
      </c>
      <c r="C5" s="14">
        <v>135</v>
      </c>
      <c r="D5" s="13">
        <v>60</v>
      </c>
      <c r="E5" s="14">
        <f t="shared" si="0"/>
        <v>135</v>
      </c>
      <c r="F5" s="13">
        <v>30</v>
      </c>
      <c r="G5" s="14">
        <f t="shared" si="1"/>
        <v>4050</v>
      </c>
      <c r="H5" s="15">
        <f t="shared" si="2"/>
        <v>9.9921050034540604E-2</v>
      </c>
    </row>
    <row r="6" spans="1:8" x14ac:dyDescent="0.3">
      <c r="A6" s="18">
        <v>4</v>
      </c>
      <c r="B6" s="6" t="s">
        <v>19</v>
      </c>
      <c r="C6" s="7">
        <v>88</v>
      </c>
      <c r="D6" s="6">
        <v>50</v>
      </c>
      <c r="E6" s="7">
        <f t="shared" si="0"/>
        <v>105.6</v>
      </c>
      <c r="F6" s="6">
        <v>38</v>
      </c>
      <c r="G6" s="7">
        <f t="shared" si="1"/>
        <v>3344</v>
      </c>
      <c r="H6" s="8">
        <f t="shared" si="2"/>
        <v>8.2502713905062669E-2</v>
      </c>
    </row>
    <row r="7" spans="1:8" x14ac:dyDescent="0.3">
      <c r="A7" s="18">
        <v>5</v>
      </c>
      <c r="B7" s="3" t="s">
        <v>15</v>
      </c>
      <c r="C7" s="4">
        <v>102</v>
      </c>
      <c r="D7" s="3">
        <v>60</v>
      </c>
      <c r="E7" s="4">
        <f t="shared" si="0"/>
        <v>102</v>
      </c>
      <c r="F7" s="3">
        <v>72</v>
      </c>
      <c r="G7" s="4">
        <f t="shared" si="1"/>
        <v>7344</v>
      </c>
      <c r="H7" s="5">
        <f t="shared" si="2"/>
        <v>0.1811901707293003</v>
      </c>
    </row>
    <row r="8" spans="1:8" x14ac:dyDescent="0.3">
      <c r="A8" s="18">
        <v>6</v>
      </c>
      <c r="B8" s="6" t="s">
        <v>18</v>
      </c>
      <c r="C8" s="7">
        <v>62</v>
      </c>
      <c r="D8" s="6">
        <v>40</v>
      </c>
      <c r="E8" s="7">
        <f t="shared" si="0"/>
        <v>93</v>
      </c>
      <c r="F8" s="6">
        <v>54</v>
      </c>
      <c r="G8" s="7">
        <f t="shared" si="1"/>
        <v>3348</v>
      </c>
      <c r="H8" s="8">
        <f t="shared" si="2"/>
        <v>8.26014013618869E-2</v>
      </c>
    </row>
    <row r="9" spans="1:8" x14ac:dyDescent="0.3">
      <c r="A9" s="18">
        <v>7</v>
      </c>
      <c r="B9" s="3" t="s">
        <v>17</v>
      </c>
      <c r="C9" s="4">
        <v>88</v>
      </c>
      <c r="D9" s="3">
        <v>60</v>
      </c>
      <c r="E9" s="4">
        <f t="shared" si="0"/>
        <v>88</v>
      </c>
      <c r="F9" s="3">
        <v>58</v>
      </c>
      <c r="G9" s="4">
        <f t="shared" si="1"/>
        <v>5104</v>
      </c>
      <c r="H9" s="5">
        <f t="shared" si="2"/>
        <v>0.12592519490772722</v>
      </c>
    </row>
    <row r="10" spans="1:8" x14ac:dyDescent="0.3">
      <c r="A10" s="18">
        <v>8</v>
      </c>
      <c r="B10" s="6" t="s">
        <v>13</v>
      </c>
      <c r="C10" s="7">
        <v>82</v>
      </c>
      <c r="D10" s="6">
        <v>60</v>
      </c>
      <c r="E10" s="7">
        <f t="shared" si="0"/>
        <v>82</v>
      </c>
      <c r="F10" s="6">
        <v>84</v>
      </c>
      <c r="G10" s="7">
        <f t="shared" si="1"/>
        <v>6888</v>
      </c>
      <c r="H10" s="8">
        <f t="shared" si="2"/>
        <v>0.16993980065133721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showGridLines="0" zoomScaleNormal="100" workbookViewId="0">
      <selection sqref="A1:B1"/>
    </sheetView>
  </sheetViews>
  <sheetFormatPr defaultColWidth="8.6640625" defaultRowHeight="14.4" x14ac:dyDescent="0.3"/>
  <cols>
    <col min="1" max="1" width="24" customWidth="1"/>
    <col min="2" max="2" width="82" customWidth="1"/>
  </cols>
  <sheetData>
    <row r="1" spans="1:2" ht="21.75" customHeight="1" x14ac:dyDescent="0.3">
      <c r="A1" s="1" t="s">
        <v>49</v>
      </c>
      <c r="B1" s="1"/>
    </row>
    <row r="2" spans="1:2" ht="30" customHeight="1" x14ac:dyDescent="0.3">
      <c r="A2" s="19" t="s">
        <v>50</v>
      </c>
      <c r="B2" s="19" t="s">
        <v>51</v>
      </c>
    </row>
    <row r="3" spans="1:2" ht="84.75" customHeight="1" x14ac:dyDescent="0.3">
      <c r="A3" s="20" t="s">
        <v>52</v>
      </c>
      <c r="B3" s="21" t="s">
        <v>53</v>
      </c>
    </row>
    <row r="4" spans="1:2" ht="84.75" customHeight="1" x14ac:dyDescent="0.3">
      <c r="A4" s="22" t="s">
        <v>54</v>
      </c>
      <c r="B4" s="23" t="s">
        <v>55</v>
      </c>
    </row>
    <row r="5" spans="1:2" ht="84.75" customHeight="1" x14ac:dyDescent="0.3">
      <c r="A5" s="20" t="s">
        <v>56</v>
      </c>
      <c r="B5" s="21" t="s">
        <v>57</v>
      </c>
    </row>
    <row r="6" spans="1:2" ht="84.75" customHeight="1" x14ac:dyDescent="0.3">
      <c r="A6" s="22" t="s">
        <v>58</v>
      </c>
      <c r="B6" s="23" t="s">
        <v>59</v>
      </c>
    </row>
    <row r="7" spans="1:2" ht="84.75" customHeight="1" x14ac:dyDescent="0.3">
      <c r="A7" s="20" t="s">
        <v>60</v>
      </c>
      <c r="B7" s="21" t="s">
        <v>61</v>
      </c>
    </row>
    <row r="8" spans="1:2" ht="84.75" customHeight="1" x14ac:dyDescent="0.3">
      <c r="A8" s="22" t="s">
        <v>62</v>
      </c>
      <c r="B8" s="23" t="s">
        <v>63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DADOS_PROCEDIMENTOS</vt:lpstr>
      <vt:lpstr>HISTORICO_MENSAL</vt:lpstr>
      <vt:lpstr>RANKING_LUCRATIVIDADE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Lucas Araújo Lucas</cp:lastModifiedBy>
  <cp:revision>0</cp:revision>
  <dcterms:created xsi:type="dcterms:W3CDTF">2026-05-21T00:14:25Z</dcterms:created>
  <dcterms:modified xsi:type="dcterms:W3CDTF">2026-05-26T01:22:00Z</dcterms:modified>
  <dc:language>en-US</dc:language>
</cp:coreProperties>
</file>