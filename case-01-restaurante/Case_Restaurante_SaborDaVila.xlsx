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5ACC60B9-67AC-48E4-BF53-F2B82ECB17ED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DADOS_PRODUTOS" sheetId="1" r:id="rId1"/>
    <sheet name="HISTORICO_MENSAL" sheetId="2" r:id="rId2"/>
    <sheet name="ANALISE_MARGEM" sheetId="3" r:id="rId3"/>
    <sheet name="INSIGH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1" i="1" l="1"/>
  <c r="H10" i="3"/>
  <c r="B10" i="3"/>
  <c r="A10" i="3"/>
  <c r="H9" i="3"/>
  <c r="C9" i="3"/>
  <c r="B9" i="3"/>
  <c r="A9" i="3"/>
  <c r="H8" i="3"/>
  <c r="C8" i="3"/>
  <c r="B8" i="3"/>
  <c r="A8" i="3"/>
  <c r="H7" i="3"/>
  <c r="G7" i="3"/>
  <c r="B7" i="3"/>
  <c r="A7" i="3"/>
  <c r="H6" i="3"/>
  <c r="B6" i="3"/>
  <c r="A6" i="3"/>
  <c r="H5" i="3"/>
  <c r="B5" i="3"/>
  <c r="A5" i="3"/>
  <c r="H4" i="3"/>
  <c r="G4" i="3"/>
  <c r="B4" i="3"/>
  <c r="A4" i="3"/>
  <c r="H3" i="3"/>
  <c r="G3" i="3"/>
  <c r="D3" i="3"/>
  <c r="C3" i="3"/>
  <c r="B3" i="3"/>
  <c r="A3" i="3"/>
  <c r="J12" i="2"/>
  <c r="I12" i="2"/>
  <c r="G12" i="2"/>
  <c r="E12" i="2"/>
  <c r="F12" i="2" s="1"/>
  <c r="J11" i="2"/>
  <c r="I11" i="2"/>
  <c r="G11" i="2"/>
  <c r="E11" i="2"/>
  <c r="F11" i="2" s="1"/>
  <c r="J10" i="2"/>
  <c r="I10" i="2"/>
  <c r="G10" i="2"/>
  <c r="E10" i="2"/>
  <c r="F10" i="2" s="1"/>
  <c r="J9" i="2"/>
  <c r="I9" i="2"/>
  <c r="G9" i="2"/>
  <c r="F9" i="2"/>
  <c r="E9" i="2"/>
  <c r="J8" i="2"/>
  <c r="I8" i="2"/>
  <c r="G8" i="2"/>
  <c r="E8" i="2"/>
  <c r="F8" i="2" s="1"/>
  <c r="J7" i="2"/>
  <c r="I7" i="2"/>
  <c r="G7" i="2"/>
  <c r="E7" i="2"/>
  <c r="F7" i="2" s="1"/>
  <c r="J6" i="2"/>
  <c r="I6" i="2"/>
  <c r="G6" i="2"/>
  <c r="E6" i="2"/>
  <c r="F6" i="2" s="1"/>
  <c r="J5" i="2"/>
  <c r="I5" i="2"/>
  <c r="G5" i="2"/>
  <c r="E5" i="2"/>
  <c r="F5" i="2" s="1"/>
  <c r="J4" i="2"/>
  <c r="I4" i="2"/>
  <c r="G4" i="2"/>
  <c r="E4" i="2"/>
  <c r="F4" i="2" s="1"/>
  <c r="I3" i="2"/>
  <c r="G3" i="2"/>
  <c r="F3" i="2"/>
  <c r="E3" i="2"/>
  <c r="K10" i="1"/>
  <c r="G10" i="3" s="1"/>
  <c r="H10" i="1"/>
  <c r="D10" i="3" s="1"/>
  <c r="G10" i="1"/>
  <c r="C10" i="3" s="1"/>
  <c r="K9" i="1"/>
  <c r="G9" i="3" s="1"/>
  <c r="H9" i="1"/>
  <c r="D9" i="3" s="1"/>
  <c r="G9" i="1"/>
  <c r="K8" i="1"/>
  <c r="G8" i="3" s="1"/>
  <c r="H8" i="1"/>
  <c r="G8" i="1"/>
  <c r="K7" i="1"/>
  <c r="H7" i="1"/>
  <c r="D7" i="3" s="1"/>
  <c r="G7" i="1"/>
  <c r="I7" i="1" s="1"/>
  <c r="K6" i="1"/>
  <c r="G6" i="3" s="1"/>
  <c r="H6" i="1"/>
  <c r="D6" i="3" s="1"/>
  <c r="G6" i="1"/>
  <c r="C6" i="3" s="1"/>
  <c r="K5" i="1"/>
  <c r="G5" i="3" s="1"/>
  <c r="H5" i="1"/>
  <c r="D5" i="3" s="1"/>
  <c r="G5" i="1"/>
  <c r="I5" i="1" s="1"/>
  <c r="K4" i="1"/>
  <c r="H4" i="1"/>
  <c r="D4" i="3" s="1"/>
  <c r="G4" i="1"/>
  <c r="C4" i="3" s="1"/>
  <c r="K3" i="1"/>
  <c r="H3" i="1"/>
  <c r="G3" i="1"/>
  <c r="C7" i="3" l="1"/>
  <c r="C5" i="3"/>
  <c r="G11" i="1"/>
  <c r="I8" i="1"/>
  <c r="J8" i="1" s="1"/>
  <c r="H11" i="1"/>
  <c r="I9" i="1"/>
  <c r="E5" i="3"/>
  <c r="J5" i="1"/>
  <c r="J7" i="1"/>
  <c r="E7" i="3"/>
  <c r="E9" i="3"/>
  <c r="F9" i="3" s="1"/>
  <c r="J9" i="1"/>
  <c r="D8" i="3"/>
  <c r="I6" i="1"/>
  <c r="I3" i="1"/>
  <c r="I10" i="1"/>
  <c r="I4" i="1"/>
  <c r="F7" i="3" l="1"/>
  <c r="F5" i="3"/>
  <c r="E8" i="3"/>
  <c r="F8" i="3" s="1"/>
  <c r="J4" i="1"/>
  <c r="E4" i="3"/>
  <c r="F4" i="3" s="1"/>
  <c r="J10" i="1"/>
  <c r="E10" i="3"/>
  <c r="F10" i="3" s="1"/>
  <c r="I11" i="1"/>
  <c r="J11" i="1" s="1"/>
  <c r="J3" i="1"/>
  <c r="E3" i="3"/>
  <c r="F3" i="3" s="1"/>
  <c r="J6" i="1"/>
  <c r="E6" i="3"/>
  <c r="F6" i="3" s="1"/>
</calcChain>
</file>

<file path=xl/sharedStrings.xml><?xml version="1.0" encoding="utf-8"?>
<sst xmlns="http://schemas.openxmlformats.org/spreadsheetml/2006/main" count="92" uniqueCount="67">
  <si>
    <t>RESTAURANTE SABOR DA VILA — Análise de Produtos | Outubro/2024</t>
  </si>
  <si>
    <t>Produto</t>
  </si>
  <si>
    <t>Categoria</t>
  </si>
  <si>
    <t>Canal</t>
  </si>
  <si>
    <t>Qtd_Vendida</t>
  </si>
  <si>
    <t>Preco_Venda</t>
  </si>
  <si>
    <t>Custo_Unitario</t>
  </si>
  <si>
    <t>Faturamento</t>
  </si>
  <si>
    <t>Custo_Total</t>
  </si>
  <si>
    <t>Lucro_Bruto</t>
  </si>
  <si>
    <t>Margem_Pct</t>
  </si>
  <si>
    <t>Lucro_Unitario</t>
  </si>
  <si>
    <t>Classificacao</t>
  </si>
  <si>
    <t>Marmita P</t>
  </si>
  <si>
    <t>Delivery</t>
  </si>
  <si>
    <t>iFood</t>
  </si>
  <si>
    <t>ESTRELA</t>
  </si>
  <si>
    <t>Marmita G</t>
  </si>
  <si>
    <t>Prato Feito Frango</t>
  </si>
  <si>
    <t>Pratos</t>
  </si>
  <si>
    <t>Salão</t>
  </si>
  <si>
    <t>Prato Feito Carne</t>
  </si>
  <si>
    <t>REVISAR</t>
  </si>
  <si>
    <t>Combo Executivo</t>
  </si>
  <si>
    <t>POTENCIAL</t>
  </si>
  <si>
    <t>Refrigerante Lata</t>
  </si>
  <si>
    <t>Bebidas</t>
  </si>
  <si>
    <t>Ambos</t>
  </si>
  <si>
    <t>Suco Natural</t>
  </si>
  <si>
    <t>OPORTUNIDADE</t>
  </si>
  <si>
    <t>Sobremesa</t>
  </si>
  <si>
    <t>Extras</t>
  </si>
  <si>
    <t>TOTAL</t>
  </si>
  <si>
    <t>RESTAURANTE SABOR DA VILA — Histórico Mensal | Jan–Out 2024</t>
  </si>
  <si>
    <t>Mes</t>
  </si>
  <si>
    <t>Ordem_Mes</t>
  </si>
  <si>
    <t>CMV_Pct</t>
  </si>
  <si>
    <t>Ticket_Medio</t>
  </si>
  <si>
    <t>Qtd_Pedidos</t>
  </si>
  <si>
    <t>Cresc_Fat_Pct</t>
  </si>
  <si>
    <t>jan/24</t>
  </si>
  <si>
    <t>—</t>
  </si>
  <si>
    <t>fev/24</t>
  </si>
  <si>
    <t>mar/24</t>
  </si>
  <si>
    <t>abr/24</t>
  </si>
  <si>
    <t>mai/24</t>
  </si>
  <si>
    <t>jun/24</t>
  </si>
  <si>
    <t>jul/24</t>
  </si>
  <si>
    <t>ago/24</t>
  </si>
  <si>
    <t>set/24</t>
  </si>
  <si>
    <t>out/24</t>
  </si>
  <si>
    <t>ANÁLISE DE MARGEM — Posicionamento de Produtos | Out/2024</t>
  </si>
  <si>
    <t>INSIGHTS ESTRATÉGICOS — Restaurante Sabor da Vila</t>
  </si>
  <si>
    <t>Insight</t>
  </si>
  <si>
    <t>Descrição e Ação Recomendada</t>
  </si>
  <si>
    <t>INSIGHT 1 — Suco Natural: margem mais alta, volume baixo</t>
  </si>
  <si>
    <t>Margem de 75,0% — a mais alta de todos os produtos — com apenas 160 unidades vendidas. Cada unidade gera R$7,50 de lucro. Potencial inexplorado de R$4.600/mês se volume dobrar. AÇÃO: treinar equipe para oferecer ativamente; adicionar como 'complemento sugerido' no iFood.</t>
  </si>
  <si>
    <t>INSIGHT 2 — Combo Executivo: ticket alto, margem sólida</t>
  </si>
  <si>
    <t>Ticket de R$34,90 (85% maior que Marmita P) com margem de 57,0%. Se 15% dos 400 pedidos de Marmita P migrassem para Combo, o faturamento adicional seria R$2.400/mês sem nenhum cliente novo. AÇÃO: criar promoção 'Combo do Dia' com destaque no iFood e cardápio físico.</t>
  </si>
  <si>
    <t>INSIGHT 3 — Refrigerante Lata: alto volume e margem surpreendente</t>
  </si>
  <si>
    <t>490 unidades × margem 70,0% = R$2.058 de lucro apenas com bebidas. O item mais vendido em volume. AÇÃO: criar combo obrigatório 'prato + bebida' no salão; no iFood, adicionar como sugestão automática em todos os pratos.</t>
  </si>
  <si>
    <t>INSIGHT 4 — Prato Feito Carne: único abaixo de 55% de margem</t>
  </si>
  <si>
    <t>Margem de 53,3% — a mais baixa do cardápio. Custo de R$13,50 num prato de R$28,90. AÇÕES (escolha 1 ou combine): (a) renegociar fornecedor de carne buscando 10% de redução; (b) reduzir gramagem em 8%; (c) reajustar preço para R$31,90.</t>
  </si>
  <si>
    <t>INSIGHT 5 — Crescimento de 30,7% em 10 meses com margem estável</t>
  </si>
  <si>
    <t>Faturamento cresceu de R$32.400 (jan) para R$42.357 (out) — +30,7%. A margem oscilou entre 54% e 56% o tempo todo, indicando que custos crescem na mesma proporção. AÇÃO: negociar escala com fornecedores para reduzir CMV de 44% para 40%, o que geraria +R$1.690/mês de lucro adicional.</t>
  </si>
  <si>
    <t>INSIGHT 6 — iFood vs pedido direto: diferença real no lucro</t>
  </si>
  <si>
    <t>A comissão do iFood (média 23%) reduz a margem da Marmita P de 61,9% para 38,8% — uma diferença de R$2,63 por pedido. Com 400 pedidos/mês, são R$1.052 mensais pagos de comissão só na Marmita P. AÇÃO: criar canal de pedidos direto via WhatsApp com desconto de R$2,00 para o cliente — você ganha R$1,00 por pedido e fideliza.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</si>
</sst>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 &quot;#,##0.00"/>
    <numFmt numFmtId="165" formatCode="0.0%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9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F2F7FC"/>
      </patternFill>
    </fill>
    <fill>
      <patternFill patternType="solid">
        <fgColor rgb="FF1F7A4A"/>
        <bgColor rgb="FF008080"/>
      </patternFill>
    </fill>
    <fill>
      <patternFill patternType="solid">
        <fgColor rgb="FFF2F7FC"/>
        <bgColor rgb="FFFFFFFF"/>
      </patternFill>
    </fill>
    <fill>
      <patternFill patternType="solid">
        <fgColor rgb="FFC00000"/>
        <bgColor rgb="FF800000"/>
      </patternFill>
    </fill>
    <fill>
      <patternFill patternType="solid">
        <fgColor rgb="FF7F6000"/>
        <bgColor rgb="FF993300"/>
      </patternFill>
    </fill>
  </fills>
  <borders count="4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165" fontId="3" fillId="4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164" fontId="3" fillId="6" borderId="2" xfId="0" applyNumberFormat="1" applyFont="1" applyFill="1" applyBorder="1" applyAlignment="1">
      <alignment horizontal="center" vertical="center"/>
    </xf>
    <xf numFmtId="165" fontId="3" fillId="6" borderId="2" xfId="0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0" fillId="0" borderId="2" xfId="0" applyBorder="1"/>
    <xf numFmtId="0" fontId="2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1F7A4A"/>
      <rgbColor rgb="FFCCCCCC"/>
      <rgbColor rgb="FF808080"/>
      <rgbColor rgb="FF9999FF"/>
      <rgbColor rgb="FF993366"/>
      <rgbColor rgb="FFF2F7F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zoomScaleNormal="100" workbookViewId="0">
      <selection activeCell="D16" sqref="D16"/>
    </sheetView>
  </sheetViews>
  <sheetFormatPr defaultColWidth="8.6640625" defaultRowHeight="14.4" x14ac:dyDescent="0.3"/>
  <cols>
    <col min="1" max="1" width="22" customWidth="1"/>
    <col min="2" max="2" width="12" customWidth="1"/>
    <col min="3" max="3" width="10" customWidth="1"/>
    <col min="4" max="4" width="12" customWidth="1"/>
    <col min="5" max="5" width="13" customWidth="1"/>
    <col min="6" max="6" width="16.77734375" customWidth="1"/>
    <col min="7" max="9" width="13" customWidth="1"/>
    <col min="10" max="10" width="12" customWidth="1"/>
    <col min="11" max="11" width="14" customWidth="1"/>
    <col min="12" max="12" width="17.33203125" customWidth="1"/>
  </cols>
  <sheetData>
    <row r="1" spans="1:12" ht="21.7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3">
      <c r="A3" s="3" t="s">
        <v>13</v>
      </c>
      <c r="B3" s="3" t="s">
        <v>14</v>
      </c>
      <c r="C3" s="3" t="s">
        <v>15</v>
      </c>
      <c r="D3" s="3">
        <v>400</v>
      </c>
      <c r="E3" s="4">
        <v>18.899999999999999</v>
      </c>
      <c r="F3" s="4">
        <v>7.2</v>
      </c>
      <c r="G3" s="4">
        <f t="shared" ref="G3:G10" si="0">D3*E3</f>
        <v>7559.9999999999991</v>
      </c>
      <c r="H3" s="4">
        <f t="shared" ref="H3:H10" si="1">D3*F3</f>
        <v>2880</v>
      </c>
      <c r="I3" s="4">
        <f t="shared" ref="I3:I10" si="2">G3-H3</f>
        <v>4679.9999999999991</v>
      </c>
      <c r="J3" s="5">
        <f t="shared" ref="J3:J11" si="3">I3/G3</f>
        <v>0.61904761904761896</v>
      </c>
      <c r="K3" s="4">
        <f t="shared" ref="K3:K10" si="4">E3-F3</f>
        <v>11.7</v>
      </c>
      <c r="L3" s="6" t="s">
        <v>16</v>
      </c>
    </row>
    <row r="4" spans="1:12" x14ac:dyDescent="0.3">
      <c r="A4" s="7" t="s">
        <v>17</v>
      </c>
      <c r="B4" s="7" t="s">
        <v>14</v>
      </c>
      <c r="C4" s="7" t="s">
        <v>15</v>
      </c>
      <c r="D4" s="7">
        <v>260</v>
      </c>
      <c r="E4" s="8">
        <v>24.9</v>
      </c>
      <c r="F4" s="8">
        <v>9.8000000000000007</v>
      </c>
      <c r="G4" s="8">
        <f t="shared" si="0"/>
        <v>6474</v>
      </c>
      <c r="H4" s="8">
        <f t="shared" si="1"/>
        <v>2548</v>
      </c>
      <c r="I4" s="8">
        <f t="shared" si="2"/>
        <v>3926</v>
      </c>
      <c r="J4" s="9">
        <f t="shared" si="3"/>
        <v>0.60642570281124497</v>
      </c>
      <c r="K4" s="8">
        <f t="shared" si="4"/>
        <v>15.099999999999998</v>
      </c>
      <c r="L4" s="6" t="s">
        <v>16</v>
      </c>
    </row>
    <row r="5" spans="1:12" x14ac:dyDescent="0.3">
      <c r="A5" s="3" t="s">
        <v>18</v>
      </c>
      <c r="B5" s="3" t="s">
        <v>19</v>
      </c>
      <c r="C5" s="3" t="s">
        <v>20</v>
      </c>
      <c r="D5" s="3">
        <v>330</v>
      </c>
      <c r="E5" s="4">
        <v>25.9</v>
      </c>
      <c r="F5" s="4">
        <v>10.8</v>
      </c>
      <c r="G5" s="4">
        <f t="shared" si="0"/>
        <v>8547</v>
      </c>
      <c r="H5" s="4">
        <f t="shared" si="1"/>
        <v>3564.0000000000005</v>
      </c>
      <c r="I5" s="4">
        <f t="shared" si="2"/>
        <v>4983</v>
      </c>
      <c r="J5" s="5">
        <f t="shared" si="3"/>
        <v>0.58301158301158296</v>
      </c>
      <c r="K5" s="4">
        <f t="shared" si="4"/>
        <v>15.099999999999998</v>
      </c>
      <c r="L5" s="6" t="s">
        <v>16</v>
      </c>
    </row>
    <row r="6" spans="1:12" x14ac:dyDescent="0.3">
      <c r="A6" s="7" t="s">
        <v>21</v>
      </c>
      <c r="B6" s="7" t="s">
        <v>19</v>
      </c>
      <c r="C6" s="7" t="s">
        <v>20</v>
      </c>
      <c r="D6" s="7">
        <v>240</v>
      </c>
      <c r="E6" s="8">
        <v>28.9</v>
      </c>
      <c r="F6" s="8">
        <v>13.5</v>
      </c>
      <c r="G6" s="8">
        <f t="shared" si="0"/>
        <v>6936</v>
      </c>
      <c r="H6" s="8">
        <f t="shared" si="1"/>
        <v>3240</v>
      </c>
      <c r="I6" s="8">
        <f t="shared" si="2"/>
        <v>3696</v>
      </c>
      <c r="J6" s="9">
        <f t="shared" si="3"/>
        <v>0.53287197231833905</v>
      </c>
      <c r="K6" s="8">
        <f t="shared" si="4"/>
        <v>15.399999999999999</v>
      </c>
      <c r="L6" s="10" t="s">
        <v>22</v>
      </c>
    </row>
    <row r="7" spans="1:12" x14ac:dyDescent="0.3">
      <c r="A7" s="3" t="s">
        <v>23</v>
      </c>
      <c r="B7" s="3" t="s">
        <v>19</v>
      </c>
      <c r="C7" s="3" t="s">
        <v>20</v>
      </c>
      <c r="D7" s="3">
        <v>200</v>
      </c>
      <c r="E7" s="4">
        <v>34.9</v>
      </c>
      <c r="F7" s="4">
        <v>15</v>
      </c>
      <c r="G7" s="4">
        <f t="shared" si="0"/>
        <v>6980</v>
      </c>
      <c r="H7" s="4">
        <f t="shared" si="1"/>
        <v>3000</v>
      </c>
      <c r="I7" s="4">
        <f t="shared" si="2"/>
        <v>3980</v>
      </c>
      <c r="J7" s="5">
        <f t="shared" si="3"/>
        <v>0.57020057306590255</v>
      </c>
      <c r="K7" s="4">
        <f t="shared" si="4"/>
        <v>19.899999999999999</v>
      </c>
      <c r="L7" s="11" t="s">
        <v>24</v>
      </c>
    </row>
    <row r="8" spans="1:12" x14ac:dyDescent="0.3">
      <c r="A8" s="7" t="s">
        <v>25</v>
      </c>
      <c r="B8" s="7" t="s">
        <v>26</v>
      </c>
      <c r="C8" s="7" t="s">
        <v>27</v>
      </c>
      <c r="D8" s="7">
        <v>490</v>
      </c>
      <c r="E8" s="8">
        <v>6</v>
      </c>
      <c r="F8" s="8">
        <v>1.8</v>
      </c>
      <c r="G8" s="8">
        <f t="shared" si="0"/>
        <v>2940</v>
      </c>
      <c r="H8" s="8">
        <f t="shared" si="1"/>
        <v>882</v>
      </c>
      <c r="I8" s="8">
        <f t="shared" si="2"/>
        <v>2058</v>
      </c>
      <c r="J8" s="9">
        <f t="shared" si="3"/>
        <v>0.7</v>
      </c>
      <c r="K8" s="8">
        <f t="shared" si="4"/>
        <v>4.2</v>
      </c>
      <c r="L8" s="6" t="s">
        <v>16</v>
      </c>
    </row>
    <row r="9" spans="1:12" x14ac:dyDescent="0.3">
      <c r="A9" s="3" t="s">
        <v>28</v>
      </c>
      <c r="B9" s="3" t="s">
        <v>26</v>
      </c>
      <c r="C9" s="3" t="s">
        <v>27</v>
      </c>
      <c r="D9" s="3">
        <v>160</v>
      </c>
      <c r="E9" s="4">
        <v>10</v>
      </c>
      <c r="F9" s="4">
        <v>2.5</v>
      </c>
      <c r="G9" s="4">
        <f t="shared" si="0"/>
        <v>1600</v>
      </c>
      <c r="H9" s="4">
        <f t="shared" si="1"/>
        <v>400</v>
      </c>
      <c r="I9" s="4">
        <f t="shared" si="2"/>
        <v>1200</v>
      </c>
      <c r="J9" s="5">
        <f t="shared" si="3"/>
        <v>0.75</v>
      </c>
      <c r="K9" s="4">
        <f t="shared" si="4"/>
        <v>7.5</v>
      </c>
      <c r="L9" s="12" t="s">
        <v>29</v>
      </c>
    </row>
    <row r="10" spans="1:12" x14ac:dyDescent="0.3">
      <c r="A10" s="7" t="s">
        <v>30</v>
      </c>
      <c r="B10" s="7" t="s">
        <v>31</v>
      </c>
      <c r="C10" s="7" t="s">
        <v>27</v>
      </c>
      <c r="D10" s="7">
        <v>110</v>
      </c>
      <c r="E10" s="8">
        <v>12</v>
      </c>
      <c r="F10" s="8">
        <v>3.2</v>
      </c>
      <c r="G10" s="8">
        <f t="shared" si="0"/>
        <v>1320</v>
      </c>
      <c r="H10" s="8">
        <f t="shared" si="1"/>
        <v>352</v>
      </c>
      <c r="I10" s="8">
        <f t="shared" si="2"/>
        <v>968</v>
      </c>
      <c r="J10" s="9">
        <f t="shared" si="3"/>
        <v>0.73333333333333328</v>
      </c>
      <c r="K10" s="8">
        <f t="shared" si="4"/>
        <v>8.8000000000000007</v>
      </c>
      <c r="L10" s="12" t="s">
        <v>29</v>
      </c>
    </row>
    <row r="11" spans="1:12" x14ac:dyDescent="0.3">
      <c r="A11" s="13" t="s">
        <v>32</v>
      </c>
      <c r="B11" s="13"/>
      <c r="C11" s="13"/>
      <c r="D11" s="13">
        <f>SUM(D3:D10)</f>
        <v>2190</v>
      </c>
      <c r="E11" s="13"/>
      <c r="F11" s="13"/>
      <c r="G11" s="14">
        <f>SUM(G3:G10)</f>
        <v>42357</v>
      </c>
      <c r="H11" s="14">
        <f>SUM(H3:H10)</f>
        <v>16866</v>
      </c>
      <c r="I11" s="14">
        <f>SUM(I3:I10)</f>
        <v>25491</v>
      </c>
      <c r="J11" s="15">
        <f t="shared" si="3"/>
        <v>0.60181315957220771</v>
      </c>
      <c r="K11" s="13"/>
      <c r="L11" s="13"/>
    </row>
    <row r="15" spans="1:12" x14ac:dyDescent="0.3">
      <c r="C15" s="22"/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tabSelected="1" zoomScaleNormal="100" workbookViewId="0">
      <selection activeCell="F16" sqref="F16"/>
    </sheetView>
  </sheetViews>
  <sheetFormatPr defaultColWidth="8.6640625" defaultRowHeight="14.4" x14ac:dyDescent="0.3"/>
  <cols>
    <col min="1" max="1" width="10" customWidth="1"/>
    <col min="2" max="2" width="11" customWidth="1"/>
    <col min="3" max="5" width="15" customWidth="1"/>
    <col min="6" max="6" width="12" customWidth="1"/>
    <col min="7" max="7" width="10" customWidth="1"/>
    <col min="8" max="8" width="14" customWidth="1"/>
    <col min="9" max="9" width="13" customWidth="1"/>
    <col min="10" max="10" width="15.5546875" customWidth="1"/>
  </cols>
  <sheetData>
    <row r="1" spans="1:10" ht="21.75" customHeight="1" x14ac:dyDescent="0.3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 x14ac:dyDescent="0.3">
      <c r="A2" s="2" t="s">
        <v>34</v>
      </c>
      <c r="B2" s="2" t="s">
        <v>35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36</v>
      </c>
      <c r="H2" s="2" t="s">
        <v>37</v>
      </c>
      <c r="I2" s="2" t="s">
        <v>38</v>
      </c>
      <c r="J2" s="2" t="s">
        <v>39</v>
      </c>
    </row>
    <row r="3" spans="1:10" x14ac:dyDescent="0.3">
      <c r="A3" s="3" t="s">
        <v>40</v>
      </c>
      <c r="B3" s="3">
        <v>1</v>
      </c>
      <c r="C3" s="4">
        <v>32400</v>
      </c>
      <c r="D3" s="4">
        <v>14500</v>
      </c>
      <c r="E3" s="4">
        <f t="shared" ref="E3:E12" si="0">C3-D3</f>
        <v>17900</v>
      </c>
      <c r="F3" s="5">
        <f t="shared" ref="F3:F12" si="1">E3/C3</f>
        <v>0.55246913580246915</v>
      </c>
      <c r="G3" s="5">
        <f t="shared" ref="G3:G12" si="2">D3/C3</f>
        <v>0.44753086419753085</v>
      </c>
      <c r="H3" s="4">
        <v>27.2</v>
      </c>
      <c r="I3" s="3">
        <f t="shared" ref="I3:I12" si="3">ROUND(C3/H3,0)</f>
        <v>1191</v>
      </c>
      <c r="J3" s="3" t="s">
        <v>41</v>
      </c>
    </row>
    <row r="4" spans="1:10" x14ac:dyDescent="0.3">
      <c r="A4" s="7" t="s">
        <v>42</v>
      </c>
      <c r="B4" s="7">
        <v>2</v>
      </c>
      <c r="C4" s="8">
        <v>30100</v>
      </c>
      <c r="D4" s="8">
        <v>13500</v>
      </c>
      <c r="E4" s="8">
        <f t="shared" si="0"/>
        <v>16600</v>
      </c>
      <c r="F4" s="9">
        <f t="shared" si="1"/>
        <v>0.55149501661129563</v>
      </c>
      <c r="G4" s="9">
        <f t="shared" si="2"/>
        <v>0.44850498338870431</v>
      </c>
      <c r="H4" s="8">
        <v>26.8</v>
      </c>
      <c r="I4" s="7">
        <f t="shared" si="3"/>
        <v>1123</v>
      </c>
      <c r="J4" s="9">
        <f t="shared" ref="J4:J12" si="4">(C4-C3)/C3</f>
        <v>-7.098765432098765E-2</v>
      </c>
    </row>
    <row r="5" spans="1:10" x14ac:dyDescent="0.3">
      <c r="A5" s="3" t="s">
        <v>43</v>
      </c>
      <c r="B5" s="3">
        <v>3</v>
      </c>
      <c r="C5" s="4">
        <v>34800</v>
      </c>
      <c r="D5" s="4">
        <v>15600</v>
      </c>
      <c r="E5" s="4">
        <f t="shared" si="0"/>
        <v>19200</v>
      </c>
      <c r="F5" s="5">
        <f t="shared" si="1"/>
        <v>0.55172413793103448</v>
      </c>
      <c r="G5" s="5">
        <f t="shared" si="2"/>
        <v>0.44827586206896552</v>
      </c>
      <c r="H5" s="4">
        <v>28.1</v>
      </c>
      <c r="I5" s="3">
        <f t="shared" si="3"/>
        <v>1238</v>
      </c>
      <c r="J5" s="5">
        <f t="shared" si="4"/>
        <v>0.15614617940199335</v>
      </c>
    </row>
    <row r="6" spans="1:10" x14ac:dyDescent="0.3">
      <c r="A6" s="7" t="s">
        <v>44</v>
      </c>
      <c r="B6" s="7">
        <v>4</v>
      </c>
      <c r="C6" s="8">
        <v>36200</v>
      </c>
      <c r="D6" s="8">
        <v>16200</v>
      </c>
      <c r="E6" s="8">
        <f t="shared" si="0"/>
        <v>20000</v>
      </c>
      <c r="F6" s="9">
        <f t="shared" si="1"/>
        <v>0.5524861878453039</v>
      </c>
      <c r="G6" s="9">
        <f t="shared" si="2"/>
        <v>0.44751381215469616</v>
      </c>
      <c r="H6" s="8">
        <v>28.8</v>
      </c>
      <c r="I6" s="7">
        <f t="shared" si="3"/>
        <v>1257</v>
      </c>
      <c r="J6" s="9">
        <f t="shared" si="4"/>
        <v>4.0229885057471264E-2</v>
      </c>
    </row>
    <row r="7" spans="1:10" x14ac:dyDescent="0.3">
      <c r="A7" s="3" t="s">
        <v>45</v>
      </c>
      <c r="B7" s="3">
        <v>5</v>
      </c>
      <c r="C7" s="4">
        <v>33600</v>
      </c>
      <c r="D7" s="4">
        <v>15000</v>
      </c>
      <c r="E7" s="4">
        <f t="shared" si="0"/>
        <v>18600</v>
      </c>
      <c r="F7" s="5">
        <f t="shared" si="1"/>
        <v>0.5535714285714286</v>
      </c>
      <c r="G7" s="5">
        <f t="shared" si="2"/>
        <v>0.44642857142857145</v>
      </c>
      <c r="H7" s="4">
        <v>27.5</v>
      </c>
      <c r="I7" s="3">
        <f t="shared" si="3"/>
        <v>1222</v>
      </c>
      <c r="J7" s="5">
        <f t="shared" si="4"/>
        <v>-7.18232044198895E-2</v>
      </c>
    </row>
    <row r="8" spans="1:10" x14ac:dyDescent="0.3">
      <c r="A8" s="7" t="s">
        <v>46</v>
      </c>
      <c r="B8" s="7">
        <v>6</v>
      </c>
      <c r="C8" s="8">
        <v>31800</v>
      </c>
      <c r="D8" s="8">
        <v>14200</v>
      </c>
      <c r="E8" s="8">
        <f t="shared" si="0"/>
        <v>17600</v>
      </c>
      <c r="F8" s="9">
        <f t="shared" si="1"/>
        <v>0.55345911949685533</v>
      </c>
      <c r="G8" s="9">
        <f t="shared" si="2"/>
        <v>0.44654088050314467</v>
      </c>
      <c r="H8" s="8">
        <v>27</v>
      </c>
      <c r="I8" s="7">
        <f t="shared" si="3"/>
        <v>1178</v>
      </c>
      <c r="J8" s="9">
        <f t="shared" si="4"/>
        <v>-5.3571428571428568E-2</v>
      </c>
    </row>
    <row r="9" spans="1:10" x14ac:dyDescent="0.3">
      <c r="A9" s="3" t="s">
        <v>47</v>
      </c>
      <c r="B9" s="3">
        <v>7</v>
      </c>
      <c r="C9" s="4">
        <v>35900</v>
      </c>
      <c r="D9" s="4">
        <v>16100</v>
      </c>
      <c r="E9" s="4">
        <f t="shared" si="0"/>
        <v>19800</v>
      </c>
      <c r="F9" s="5">
        <f t="shared" si="1"/>
        <v>0.55153203342618384</v>
      </c>
      <c r="G9" s="5">
        <f t="shared" si="2"/>
        <v>0.44846796657381616</v>
      </c>
      <c r="H9" s="4">
        <v>29.2</v>
      </c>
      <c r="I9" s="3">
        <f t="shared" si="3"/>
        <v>1229</v>
      </c>
      <c r="J9" s="5">
        <f t="shared" si="4"/>
        <v>0.12893081761006289</v>
      </c>
    </row>
    <row r="10" spans="1:10" x14ac:dyDescent="0.3">
      <c r="A10" s="7" t="s">
        <v>48</v>
      </c>
      <c r="B10" s="7">
        <v>8</v>
      </c>
      <c r="C10" s="8">
        <v>38400</v>
      </c>
      <c r="D10" s="8">
        <v>17200</v>
      </c>
      <c r="E10" s="8">
        <f t="shared" si="0"/>
        <v>21200</v>
      </c>
      <c r="F10" s="9">
        <f t="shared" si="1"/>
        <v>0.55208333333333337</v>
      </c>
      <c r="G10" s="9">
        <f t="shared" si="2"/>
        <v>0.44791666666666669</v>
      </c>
      <c r="H10" s="8">
        <v>30.1</v>
      </c>
      <c r="I10" s="7">
        <f t="shared" si="3"/>
        <v>1276</v>
      </c>
      <c r="J10" s="9">
        <f t="shared" si="4"/>
        <v>6.9637883008356549E-2</v>
      </c>
    </row>
    <row r="11" spans="1:10" x14ac:dyDescent="0.3">
      <c r="A11" s="3" t="s">
        <v>49</v>
      </c>
      <c r="B11" s="3">
        <v>9</v>
      </c>
      <c r="C11" s="4">
        <v>40700</v>
      </c>
      <c r="D11" s="4">
        <v>18200</v>
      </c>
      <c r="E11" s="4">
        <f t="shared" si="0"/>
        <v>22500</v>
      </c>
      <c r="F11" s="5">
        <f t="shared" si="1"/>
        <v>0.55282555282555279</v>
      </c>
      <c r="G11" s="5">
        <f t="shared" si="2"/>
        <v>0.44717444717444715</v>
      </c>
      <c r="H11" s="4">
        <v>31</v>
      </c>
      <c r="I11" s="3">
        <f t="shared" si="3"/>
        <v>1313</v>
      </c>
      <c r="J11" s="5">
        <f t="shared" si="4"/>
        <v>5.9895833333333336E-2</v>
      </c>
    </row>
    <row r="12" spans="1:10" x14ac:dyDescent="0.3">
      <c r="A12" s="7" t="s">
        <v>50</v>
      </c>
      <c r="B12" s="7">
        <v>10</v>
      </c>
      <c r="C12" s="8">
        <v>42357</v>
      </c>
      <c r="D12" s="8">
        <v>19000</v>
      </c>
      <c r="E12" s="8">
        <f t="shared" si="0"/>
        <v>23357</v>
      </c>
      <c r="F12" s="9">
        <f t="shared" si="1"/>
        <v>0.55143187666737492</v>
      </c>
      <c r="G12" s="9">
        <f t="shared" si="2"/>
        <v>0.44856812333262508</v>
      </c>
      <c r="H12" s="8">
        <v>31.8</v>
      </c>
      <c r="I12" s="7">
        <f t="shared" si="3"/>
        <v>1332</v>
      </c>
      <c r="J12" s="9">
        <f t="shared" si="4"/>
        <v>4.0712530712530712E-2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zoomScaleNormal="100" workbookViewId="0">
      <selection activeCell="D16" sqref="D16"/>
    </sheetView>
  </sheetViews>
  <sheetFormatPr defaultColWidth="8.6640625" defaultRowHeight="14.4" x14ac:dyDescent="0.3"/>
  <cols>
    <col min="1" max="1" width="22" customWidth="1"/>
    <col min="2" max="2" width="12" customWidth="1"/>
    <col min="3" max="3" width="15" customWidth="1"/>
    <col min="4" max="4" width="14" customWidth="1"/>
    <col min="5" max="5" width="15" customWidth="1"/>
    <col min="6" max="6" width="12" customWidth="1"/>
    <col min="7" max="7" width="15" customWidth="1"/>
    <col min="8" max="8" width="14" customWidth="1"/>
  </cols>
  <sheetData>
    <row r="1" spans="1:8" ht="21.75" customHeight="1" x14ac:dyDescent="0.3">
      <c r="A1" s="1" t="s">
        <v>51</v>
      </c>
      <c r="B1" s="1"/>
      <c r="C1" s="1"/>
      <c r="D1" s="1"/>
      <c r="E1" s="1"/>
      <c r="F1" s="1"/>
      <c r="G1" s="1"/>
      <c r="H1" s="1"/>
    </row>
    <row r="2" spans="1:8" ht="30" customHeight="1" x14ac:dyDescent="0.3">
      <c r="A2" s="2" t="s">
        <v>1</v>
      </c>
      <c r="B2" s="2" t="s">
        <v>2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</row>
    <row r="3" spans="1:8" x14ac:dyDescent="0.3">
      <c r="A3" s="3" t="str">
        <f>DADOS_PRODUTOS!A3</f>
        <v>Marmita P</v>
      </c>
      <c r="B3" s="3" t="str">
        <f>DADOS_PRODUTOS!B3</f>
        <v>Delivery</v>
      </c>
      <c r="C3" s="4">
        <f>DADOS_PRODUTOS!G3</f>
        <v>7559.9999999999991</v>
      </c>
      <c r="D3" s="4">
        <f>DADOS_PRODUTOS!H3</f>
        <v>2880</v>
      </c>
      <c r="E3" s="4">
        <f>DADOS_PRODUTOS!I3</f>
        <v>4679.9999999999991</v>
      </c>
      <c r="F3" s="5">
        <f t="shared" ref="F3:F10" si="0">E3/C3</f>
        <v>0.61904761904761896</v>
      </c>
      <c r="G3" s="4">
        <f>DADOS_PRODUTOS!K3</f>
        <v>11.7</v>
      </c>
      <c r="H3" s="16" t="str">
        <f>DADOS_PRODUTOS!L3</f>
        <v>ESTRELA</v>
      </c>
    </row>
    <row r="4" spans="1:8" x14ac:dyDescent="0.3">
      <c r="A4" s="7" t="str">
        <f>DADOS_PRODUTOS!A4</f>
        <v>Marmita G</v>
      </c>
      <c r="B4" s="7" t="str">
        <f>DADOS_PRODUTOS!B4</f>
        <v>Delivery</v>
      </c>
      <c r="C4" s="8">
        <f>DADOS_PRODUTOS!G4</f>
        <v>6474</v>
      </c>
      <c r="D4" s="8">
        <f>DADOS_PRODUTOS!H4</f>
        <v>2548</v>
      </c>
      <c r="E4" s="8">
        <f>DADOS_PRODUTOS!I4</f>
        <v>3926</v>
      </c>
      <c r="F4" s="9">
        <f t="shared" si="0"/>
        <v>0.60642570281124497</v>
      </c>
      <c r="G4" s="8">
        <f>DADOS_PRODUTOS!K4</f>
        <v>15.099999999999998</v>
      </c>
      <c r="H4" s="16" t="str">
        <f>DADOS_PRODUTOS!L4</f>
        <v>ESTRELA</v>
      </c>
    </row>
    <row r="5" spans="1:8" x14ac:dyDescent="0.3">
      <c r="A5" s="3" t="str">
        <f>DADOS_PRODUTOS!A5</f>
        <v>Prato Feito Frango</v>
      </c>
      <c r="B5" s="3" t="str">
        <f>DADOS_PRODUTOS!B5</f>
        <v>Pratos</v>
      </c>
      <c r="C5" s="4">
        <f>DADOS_PRODUTOS!G5</f>
        <v>8547</v>
      </c>
      <c r="D5" s="4">
        <f>DADOS_PRODUTOS!H5</f>
        <v>3564.0000000000005</v>
      </c>
      <c r="E5" s="4">
        <f>DADOS_PRODUTOS!I5</f>
        <v>4983</v>
      </c>
      <c r="F5" s="5">
        <f t="shared" si="0"/>
        <v>0.58301158301158296</v>
      </c>
      <c r="G5" s="4">
        <f>DADOS_PRODUTOS!K5</f>
        <v>15.099999999999998</v>
      </c>
      <c r="H5" s="16" t="str">
        <f>DADOS_PRODUTOS!L5</f>
        <v>ESTRELA</v>
      </c>
    </row>
    <row r="6" spans="1:8" x14ac:dyDescent="0.3">
      <c r="A6" s="7" t="str">
        <f>DADOS_PRODUTOS!A6</f>
        <v>Prato Feito Carne</v>
      </c>
      <c r="B6" s="7" t="str">
        <f>DADOS_PRODUTOS!B6</f>
        <v>Pratos</v>
      </c>
      <c r="C6" s="8">
        <f>DADOS_PRODUTOS!G6</f>
        <v>6936</v>
      </c>
      <c r="D6" s="8">
        <f>DADOS_PRODUTOS!H6</f>
        <v>3240</v>
      </c>
      <c r="E6" s="8">
        <f>DADOS_PRODUTOS!I6</f>
        <v>3696</v>
      </c>
      <c r="F6" s="9">
        <f t="shared" si="0"/>
        <v>0.53287197231833905</v>
      </c>
      <c r="G6" s="8">
        <f>DADOS_PRODUTOS!K6</f>
        <v>15.399999999999999</v>
      </c>
      <c r="H6" s="16" t="str">
        <f>DADOS_PRODUTOS!L6</f>
        <v>REVISAR</v>
      </c>
    </row>
    <row r="7" spans="1:8" x14ac:dyDescent="0.3">
      <c r="A7" s="3" t="str">
        <f>DADOS_PRODUTOS!A7</f>
        <v>Combo Executivo</v>
      </c>
      <c r="B7" s="3" t="str">
        <f>DADOS_PRODUTOS!B7</f>
        <v>Pratos</v>
      </c>
      <c r="C7" s="4">
        <f>DADOS_PRODUTOS!G7</f>
        <v>6980</v>
      </c>
      <c r="D7" s="4">
        <f>DADOS_PRODUTOS!H7</f>
        <v>3000</v>
      </c>
      <c r="E7" s="4">
        <f>DADOS_PRODUTOS!I7</f>
        <v>3980</v>
      </c>
      <c r="F7" s="5">
        <f t="shared" si="0"/>
        <v>0.57020057306590255</v>
      </c>
      <c r="G7" s="4">
        <f>DADOS_PRODUTOS!K7</f>
        <v>19.899999999999999</v>
      </c>
      <c r="H7" s="16" t="str">
        <f>DADOS_PRODUTOS!L7</f>
        <v>POTENCIAL</v>
      </c>
    </row>
    <row r="8" spans="1:8" x14ac:dyDescent="0.3">
      <c r="A8" s="7" t="str">
        <f>DADOS_PRODUTOS!A8</f>
        <v>Refrigerante Lata</v>
      </c>
      <c r="B8" s="7" t="str">
        <f>DADOS_PRODUTOS!B8</f>
        <v>Bebidas</v>
      </c>
      <c r="C8" s="8">
        <f>DADOS_PRODUTOS!G8</f>
        <v>2940</v>
      </c>
      <c r="D8" s="8">
        <f>DADOS_PRODUTOS!H8</f>
        <v>882</v>
      </c>
      <c r="E8" s="8">
        <f>DADOS_PRODUTOS!I8</f>
        <v>2058</v>
      </c>
      <c r="F8" s="9">
        <f t="shared" si="0"/>
        <v>0.7</v>
      </c>
      <c r="G8" s="8">
        <f>DADOS_PRODUTOS!K8</f>
        <v>4.2</v>
      </c>
      <c r="H8" s="16" t="str">
        <f>DADOS_PRODUTOS!L8</f>
        <v>ESTRELA</v>
      </c>
    </row>
    <row r="9" spans="1:8" x14ac:dyDescent="0.3">
      <c r="A9" s="3" t="str">
        <f>DADOS_PRODUTOS!A9</f>
        <v>Suco Natural</v>
      </c>
      <c r="B9" s="3" t="str">
        <f>DADOS_PRODUTOS!B9</f>
        <v>Bebidas</v>
      </c>
      <c r="C9" s="4">
        <f>DADOS_PRODUTOS!G9</f>
        <v>1600</v>
      </c>
      <c r="D9" s="4">
        <f>DADOS_PRODUTOS!H9</f>
        <v>400</v>
      </c>
      <c r="E9" s="4">
        <f>DADOS_PRODUTOS!I9</f>
        <v>1200</v>
      </c>
      <c r="F9" s="5">
        <f t="shared" si="0"/>
        <v>0.75</v>
      </c>
      <c r="G9" s="4">
        <f>DADOS_PRODUTOS!K9</f>
        <v>7.5</v>
      </c>
      <c r="H9" s="16" t="str">
        <f>DADOS_PRODUTOS!L9</f>
        <v>OPORTUNIDADE</v>
      </c>
    </row>
    <row r="10" spans="1:8" x14ac:dyDescent="0.3">
      <c r="A10" s="7" t="str">
        <f>DADOS_PRODUTOS!A10</f>
        <v>Sobremesa</v>
      </c>
      <c r="B10" s="7" t="str">
        <f>DADOS_PRODUTOS!B10</f>
        <v>Extras</v>
      </c>
      <c r="C10" s="8">
        <f>DADOS_PRODUTOS!G10</f>
        <v>1320</v>
      </c>
      <c r="D10" s="8">
        <f>DADOS_PRODUTOS!H10</f>
        <v>352</v>
      </c>
      <c r="E10" s="8">
        <f>DADOS_PRODUTOS!I10</f>
        <v>968</v>
      </c>
      <c r="F10" s="9">
        <f t="shared" si="0"/>
        <v>0.73333333333333328</v>
      </c>
      <c r="G10" s="8">
        <f>DADOS_PRODUTOS!K10</f>
        <v>8.8000000000000007</v>
      </c>
      <c r="H10" s="16" t="str">
        <f>DADOS_PRODUTOS!L10</f>
        <v>OPORTUNIDADE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showGridLines="0" zoomScaleNormal="100" workbookViewId="0">
      <selection sqref="A1:B1"/>
    </sheetView>
  </sheetViews>
  <sheetFormatPr defaultColWidth="8.6640625" defaultRowHeight="14.4" x14ac:dyDescent="0.3"/>
  <cols>
    <col min="1" max="1" width="20" customWidth="1"/>
    <col min="2" max="2" width="85" customWidth="1"/>
  </cols>
  <sheetData>
    <row r="1" spans="1:2" ht="21.75" customHeight="1" x14ac:dyDescent="0.3">
      <c r="A1" s="1" t="s">
        <v>52</v>
      </c>
      <c r="B1" s="1"/>
    </row>
    <row r="2" spans="1:2" ht="30" customHeight="1" x14ac:dyDescent="0.3">
      <c r="A2" s="17" t="s">
        <v>53</v>
      </c>
      <c r="B2" s="17" t="s">
        <v>54</v>
      </c>
    </row>
    <row r="3" spans="1:2" ht="79.5" customHeight="1" x14ac:dyDescent="0.3">
      <c r="A3" s="18" t="s">
        <v>55</v>
      </c>
      <c r="B3" s="19" t="s">
        <v>56</v>
      </c>
    </row>
    <row r="4" spans="1:2" ht="79.5" customHeight="1" x14ac:dyDescent="0.3">
      <c r="A4" s="20" t="s">
        <v>57</v>
      </c>
      <c r="B4" s="21" t="s">
        <v>58</v>
      </c>
    </row>
    <row r="5" spans="1:2" ht="79.5" customHeight="1" x14ac:dyDescent="0.3">
      <c r="A5" s="18" t="s">
        <v>59</v>
      </c>
      <c r="B5" s="19" t="s">
        <v>60</v>
      </c>
    </row>
    <row r="6" spans="1:2" ht="79.5" customHeight="1" x14ac:dyDescent="0.3">
      <c r="A6" s="20" t="s">
        <v>61</v>
      </c>
      <c r="B6" s="21" t="s">
        <v>62</v>
      </c>
    </row>
    <row r="7" spans="1:2" ht="79.5" customHeight="1" x14ac:dyDescent="0.3">
      <c r="A7" s="18" t="s">
        <v>63</v>
      </c>
      <c r="B7" s="19" t="s">
        <v>64</v>
      </c>
    </row>
    <row r="8" spans="1:2" ht="79.5" customHeight="1" x14ac:dyDescent="0.3">
      <c r="A8" s="20" t="s">
        <v>65</v>
      </c>
      <c r="B8" s="21" t="s">
        <v>66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DADOS_PRODUTOS</vt:lpstr>
      <vt:lpstr>HISTORICO_MENSAL</vt:lpstr>
      <vt:lpstr>ANALISE_MARGEM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Lucas Araújo Lucas</cp:lastModifiedBy>
  <cp:revision>0</cp:revision>
  <dcterms:created xsi:type="dcterms:W3CDTF">2026-05-21T00:14:24Z</dcterms:created>
  <dcterms:modified xsi:type="dcterms:W3CDTF">2026-05-21T23:31:17Z</dcterms:modified>
  <dc:language>en-US</dc:language>
</cp:coreProperties>
</file>