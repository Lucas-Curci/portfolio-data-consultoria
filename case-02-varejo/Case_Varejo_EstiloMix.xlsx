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68D8CBA-48A1-45D5-B4C5-B843FAC33B2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DOS_PRODUTOS" sheetId="1" r:id="rId1"/>
    <sheet name="HISTORICO_MENSAL" sheetId="2" r:id="rId2"/>
    <sheet name="ANALISE_ESTOQUE" sheetId="3" r:id="rId3"/>
    <sheet name="INSIGH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3" l="1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K12" i="2"/>
  <c r="H12" i="2"/>
  <c r="E12" i="2"/>
  <c r="F12" i="2" s="1"/>
  <c r="K11" i="2"/>
  <c r="H11" i="2"/>
  <c r="E11" i="2"/>
  <c r="F11" i="2" s="1"/>
  <c r="K10" i="2"/>
  <c r="H10" i="2"/>
  <c r="E10" i="2"/>
  <c r="F10" i="2" s="1"/>
  <c r="K9" i="2"/>
  <c r="H9" i="2"/>
  <c r="E9" i="2"/>
  <c r="F9" i="2" s="1"/>
  <c r="K8" i="2"/>
  <c r="H8" i="2"/>
  <c r="E8" i="2"/>
  <c r="F8" i="2" s="1"/>
  <c r="K7" i="2"/>
  <c r="H7" i="2"/>
  <c r="E7" i="2"/>
  <c r="F7" i="2" s="1"/>
  <c r="K6" i="2"/>
  <c r="H6" i="2"/>
  <c r="E6" i="2"/>
  <c r="F6" i="2" s="1"/>
  <c r="K5" i="2"/>
  <c r="H5" i="2"/>
  <c r="E5" i="2"/>
  <c r="F5" i="2" s="1"/>
  <c r="K4" i="2"/>
  <c r="H4" i="2"/>
  <c r="E4" i="2"/>
  <c r="F4" i="2" s="1"/>
  <c r="K3" i="2"/>
  <c r="H3" i="2"/>
  <c r="E3" i="2"/>
  <c r="F3" i="2" s="1"/>
  <c r="K10" i="1"/>
  <c r="G10" i="1"/>
  <c r="H10" i="1" s="1"/>
  <c r="I10" i="1" s="1"/>
  <c r="F10" i="1"/>
  <c r="K9" i="1"/>
  <c r="G9" i="1"/>
  <c r="H9" i="1" s="1"/>
  <c r="I9" i="1" s="1"/>
  <c r="F9" i="1"/>
  <c r="K8" i="1"/>
  <c r="G8" i="1"/>
  <c r="F8" i="1"/>
  <c r="H8" i="1" s="1"/>
  <c r="I8" i="1" s="1"/>
  <c r="K7" i="1"/>
  <c r="G7" i="1"/>
  <c r="F7" i="1"/>
  <c r="H7" i="1" s="1"/>
  <c r="I7" i="1" s="1"/>
  <c r="K6" i="1"/>
  <c r="G6" i="1"/>
  <c r="F6" i="1"/>
  <c r="H6" i="1" s="1"/>
  <c r="I6" i="1" s="1"/>
  <c r="K5" i="1"/>
  <c r="G5" i="1"/>
  <c r="F5" i="1"/>
  <c r="H5" i="1" s="1"/>
  <c r="I5" i="1" s="1"/>
  <c r="K4" i="1"/>
  <c r="G4" i="1"/>
  <c r="G11" i="1" s="1"/>
  <c r="F4" i="1"/>
  <c r="F11" i="1" s="1"/>
  <c r="K3" i="1"/>
  <c r="G3" i="1"/>
  <c r="F3" i="1"/>
  <c r="H3" i="1" s="1"/>
  <c r="I3" i="1" l="1"/>
  <c r="H4" i="1"/>
  <c r="I4" i="1" s="1"/>
  <c r="H11" i="1" l="1"/>
  <c r="I11" i="1" s="1"/>
</calcChain>
</file>

<file path=xl/sharedStrings.xml><?xml version="1.0" encoding="utf-8"?>
<sst xmlns="http://schemas.openxmlformats.org/spreadsheetml/2006/main" count="99" uniqueCount="73">
  <si>
    <t>LOJA ESTILO MIX — Análise de Produtos | Outubro/2024</t>
  </si>
  <si>
    <t>Produto</t>
  </si>
  <si>
    <t>Categoria</t>
  </si>
  <si>
    <t>Qtd_Vendida</t>
  </si>
  <si>
    <t>Preco_Venda</t>
  </si>
  <si>
    <t>Custo_Unitario</t>
  </si>
  <si>
    <t>Faturamento</t>
  </si>
  <si>
    <t>Custo_Total</t>
  </si>
  <si>
    <t>Lucro_Bruto</t>
  </si>
  <si>
    <t>Margem_Pct</t>
  </si>
  <si>
    <t>Estoque_Atual</t>
  </si>
  <si>
    <t>Dias_Cobertura</t>
  </si>
  <si>
    <t>Classificacao</t>
  </si>
  <si>
    <t>Cropped Premium</t>
  </si>
  <si>
    <t>Blusas</t>
  </si>
  <si>
    <t>ESTRELA</t>
  </si>
  <si>
    <t>Acessórios</t>
  </si>
  <si>
    <t>Outros</t>
  </si>
  <si>
    <t>Blusa Casual</t>
  </si>
  <si>
    <t>Conjunto Fitness</t>
  </si>
  <si>
    <t>Conjuntos</t>
  </si>
  <si>
    <t>POTENCIAL</t>
  </si>
  <si>
    <t>Vestido Floral</t>
  </si>
  <si>
    <t>Vestidos</t>
  </si>
  <si>
    <t>Calça Jeans Slim</t>
  </si>
  <si>
    <t>Calças</t>
  </si>
  <si>
    <t>Short Linho</t>
  </si>
  <si>
    <t>Shorts</t>
  </si>
  <si>
    <t>OK</t>
  </si>
  <si>
    <t>Saia Midi</t>
  </si>
  <si>
    <t>Saias</t>
  </si>
  <si>
    <t>OPORTUNIDADE</t>
  </si>
  <si>
    <t>TOTAL</t>
  </si>
  <si>
    <t>LOJA ESTILO MIX — Histórico Mensal | Jan–Out 2024</t>
  </si>
  <si>
    <t>Mes</t>
  </si>
  <si>
    <t>Ordem_Mes</t>
  </si>
  <si>
    <t>CMV</t>
  </si>
  <si>
    <t>Devolucao</t>
  </si>
  <si>
    <t>Fat_Liquido</t>
  </si>
  <si>
    <t>Clientes_Novos</t>
  </si>
  <si>
    <t>Clientes_Recorrentes</t>
  </si>
  <si>
    <t>Taxa_Retorno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</si>
  <si>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</si>
  <si>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</si>
  <si>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</si>
  <si>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</si>
  <si>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</si>
  <si>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</si>
  <si>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</si>
  <si>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</si>
  <si>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</si>
  <si>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</si>
  <si>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ANÁLISE DE ESTOQUE — Giro e Cobertura | Out/2024</t>
  </si>
  <si>
    <t>Qtd_Vendida_Mes</t>
  </si>
  <si>
    <t>Giro_Mensal</t>
  </si>
  <si>
    <t>Status_Estoque</t>
  </si>
  <si>
    <t>EXCESSO</t>
  </si>
  <si>
    <t>ATENÇÃO</t>
  </si>
  <si>
    <t>INSIGHTS ESTRATÉGICOS — Loja Estilo Mix</t>
  </si>
  <si>
    <t>Insight</t>
  </si>
  <si>
    <t>Descrição e Ação Recomendada</t>
  </si>
  <si>
    <t>INSIGHT 1 — Acessórios: maior margem + maior volume</t>
  </si>
  <si>
    <t>Margem de 77,4% com 120 unidades vendidas — maior volume e maior margem da loja. Lucro de R$7,35/unidade = R$882/mês só com acessórios. Estoque de 95 unidades (excesso) é um problema: capital parado. AÇÃO: criar display no caixa, treinar equipe para oferecer como complemento em toda compra e criar 'kit look' com Cropped + Acessório.</t>
  </si>
  <si>
    <t>INSIGHT 2 — Conjunto Fitness: maior lucro absoluto por peça</t>
  </si>
  <si>
    <t>Ticket de R$189,90 com margem de 60,5% = R$114,90 de lucro por peça vendida. 43 unidades × R$114,90 = R$4.941 de lucro total — segundo maior da loja. Estoque de 35 unidades com 24 dias de cobertura: reposição necessária em breve. AÇÃO: criar 'combo look fitness' com Cropped Premium — ticket combinado de R$249,80.</t>
  </si>
  <si>
    <t>INSIGHT 3 — Devoluções: R$13.610 perdidos em 10 meses</t>
  </si>
  <si>
    <t>Taxa de devolução estável em ~4,8% do faturamento todos os meses — o que parece controlado, mas acumula R$13.610 de jan a out/24. AÇÃO: mapear os 2 produtos com maior índice de devolução, investigar se é problema de tamanho (adicionar tabela de medidas), qualidade ou expectativa de produto versus foto.</t>
  </si>
  <si>
    <t>INSIGHT 4 — Taxa de retorno de clientes: de 28% para 35%</t>
  </si>
  <si>
    <t>Em jan/24, 34 dos 121 clientes eram recorrentes (28%). Em out/24, 92 dos 263 clientes (35%). Crescimento sólido sem custo de aquisição. AÇÃO: acelerar essa taxa com programa de fidelidade — lista VIP no WhatsApp com acesso antecipado a lançamentos e 10% de desconto na 4ª compra.</t>
  </si>
  <si>
    <t>INSIGHT 5 — Faturamento cresceu 83,9% em 10 meses</t>
  </si>
  <si>
    <t>De R$22.400 (jan) para R$41.200 (out) com margem constante em 61-62% — crescimento saudável com consistência de margem. AÇÃO: com esse ritmo, o negócio vai superar R$50.000/mês em 3-4 meses. Momento de contratar um vendedor part-time para não perder vendas em horário de pico.</t>
  </si>
  <si>
    <t>INSIGHT 6 — Saia Midi: oportunidade de nicho com excesso de estoque</t>
  </si>
  <si>
    <t>Menor volume da loja (14 unidades) com margem de 62% e estoque de 18 unidades (38 dias de cobertura — excesso). AÇÃO: criar promoção 'compre qualquer blusa + saia midi com 15% de desconto' para girar estoque parado. Alternativamente, incluir em destaque no Instagram com conteúdo de estilo.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</si>
</sst>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"/>
    <numFmt numFmtId="165" formatCode="0.0%"/>
    <numFmt numFmtId="166" formatCode="0.0&quot; dias&quot;"/>
    <numFmt numFmtId="167" formatCode="0.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2F7FC"/>
      </patternFill>
    </fill>
    <fill>
      <patternFill patternType="solid">
        <fgColor rgb="FF1F7A4A"/>
        <bgColor rgb="FF008080"/>
      </patternFill>
    </fill>
    <fill>
      <patternFill patternType="solid">
        <fgColor rgb="FFF2F7FC"/>
        <bgColor rgb="FFFFFFFF"/>
      </patternFill>
    </fill>
    <fill>
      <patternFill patternType="solid">
        <fgColor rgb="FF7F6000"/>
        <bgColor rgb="FF993300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993300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166" fontId="3" fillId="6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7" fontId="3" fillId="4" borderId="2" xfId="0" applyNumberFormat="1" applyFont="1" applyFill="1" applyBorder="1" applyAlignment="1">
      <alignment horizontal="center" vertical="center"/>
    </xf>
    <xf numFmtId="167" fontId="3" fillId="6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F7A4A"/>
      <rgbColor rgb="FFCCCCCC"/>
      <rgbColor rgb="FF808080"/>
      <rgbColor rgb="FF9999FF"/>
      <rgbColor rgb="FF993366"/>
      <rgbColor rgb="FFF2F7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Normal="100" workbookViewId="0">
      <selection activeCell="F3" sqref="F3"/>
    </sheetView>
  </sheetViews>
  <sheetFormatPr defaultColWidth="8.6640625" defaultRowHeight="14.4" x14ac:dyDescent="0.3"/>
  <cols>
    <col min="1" max="1" width="22" customWidth="1"/>
    <col min="2" max="2" width="12" customWidth="1"/>
    <col min="3" max="4" width="13" customWidth="1"/>
    <col min="5" max="5" width="15" customWidth="1"/>
    <col min="6" max="8" width="14" customWidth="1"/>
    <col min="9" max="9" width="12" customWidth="1"/>
    <col min="10" max="10" width="17.77734375" customWidth="1"/>
    <col min="11" max="11" width="15" customWidth="1"/>
    <col min="12" max="12" width="14" customWidth="1"/>
  </cols>
  <sheetData>
    <row r="1" spans="1:12" ht="21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>
        <v>95</v>
      </c>
      <c r="D3" s="4">
        <v>59.9</v>
      </c>
      <c r="E3" s="4">
        <v>18.5</v>
      </c>
      <c r="F3" s="4">
        <f t="shared" ref="F3:F10" si="0">C3*D3</f>
        <v>5690.5</v>
      </c>
      <c r="G3" s="4">
        <f t="shared" ref="G3:G10" si="1">C3*E3</f>
        <v>1757.5</v>
      </c>
      <c r="H3" s="4">
        <f t="shared" ref="H3:H10" si="2">F3-G3</f>
        <v>3933</v>
      </c>
      <c r="I3" s="5">
        <f t="shared" ref="I3:I11" si="3">H3/F3</f>
        <v>0.69115191986644409</v>
      </c>
      <c r="J3" s="3">
        <v>55</v>
      </c>
      <c r="K3" s="6">
        <f t="shared" ref="K3:K10" si="4">ROUND(J3/C3*30,1)</f>
        <v>17.399999999999999</v>
      </c>
      <c r="L3" s="7" t="s">
        <v>15</v>
      </c>
    </row>
    <row r="4" spans="1:12" x14ac:dyDescent="0.3">
      <c r="A4" s="8" t="s">
        <v>16</v>
      </c>
      <c r="B4" s="8" t="s">
        <v>17</v>
      </c>
      <c r="C4" s="8">
        <v>120</v>
      </c>
      <c r="D4" s="9">
        <v>39.9</v>
      </c>
      <c r="E4" s="9">
        <v>9</v>
      </c>
      <c r="F4" s="9">
        <f t="shared" si="0"/>
        <v>4788</v>
      </c>
      <c r="G4" s="9">
        <f t="shared" si="1"/>
        <v>1080</v>
      </c>
      <c r="H4" s="9">
        <f t="shared" si="2"/>
        <v>3708</v>
      </c>
      <c r="I4" s="10">
        <f t="shared" si="3"/>
        <v>0.77443609022556392</v>
      </c>
      <c r="J4" s="8">
        <v>95</v>
      </c>
      <c r="K4" s="11">
        <f t="shared" si="4"/>
        <v>23.8</v>
      </c>
      <c r="L4" s="7" t="s">
        <v>15</v>
      </c>
    </row>
    <row r="5" spans="1:12" x14ac:dyDescent="0.3">
      <c r="A5" s="3" t="s">
        <v>18</v>
      </c>
      <c r="B5" s="3" t="s">
        <v>14</v>
      </c>
      <c r="C5" s="3">
        <v>65</v>
      </c>
      <c r="D5" s="4">
        <v>79.900000000000006</v>
      </c>
      <c r="E5" s="4">
        <v>28</v>
      </c>
      <c r="F5" s="4">
        <f t="shared" si="0"/>
        <v>5193.5</v>
      </c>
      <c r="G5" s="4">
        <f t="shared" si="1"/>
        <v>1820</v>
      </c>
      <c r="H5" s="4">
        <f t="shared" si="2"/>
        <v>3373.5</v>
      </c>
      <c r="I5" s="5">
        <f t="shared" si="3"/>
        <v>0.64956195244055071</v>
      </c>
      <c r="J5" s="3">
        <v>38</v>
      </c>
      <c r="K5" s="6">
        <f t="shared" si="4"/>
        <v>17.5</v>
      </c>
      <c r="L5" s="7" t="s">
        <v>15</v>
      </c>
    </row>
    <row r="6" spans="1:12" x14ac:dyDescent="0.3">
      <c r="A6" s="8" t="s">
        <v>19</v>
      </c>
      <c r="B6" s="8" t="s">
        <v>20</v>
      </c>
      <c r="C6" s="8">
        <v>43</v>
      </c>
      <c r="D6" s="9">
        <v>189.9</v>
      </c>
      <c r="E6" s="9">
        <v>75</v>
      </c>
      <c r="F6" s="9">
        <f t="shared" si="0"/>
        <v>8165.7</v>
      </c>
      <c r="G6" s="9">
        <f t="shared" si="1"/>
        <v>3225</v>
      </c>
      <c r="H6" s="9">
        <f t="shared" si="2"/>
        <v>4940.7</v>
      </c>
      <c r="I6" s="10">
        <f t="shared" si="3"/>
        <v>0.60505529225908372</v>
      </c>
      <c r="J6" s="8">
        <v>35</v>
      </c>
      <c r="K6" s="11">
        <f t="shared" si="4"/>
        <v>24.4</v>
      </c>
      <c r="L6" s="12" t="s">
        <v>21</v>
      </c>
    </row>
    <row r="7" spans="1:12" x14ac:dyDescent="0.3">
      <c r="A7" s="3" t="s">
        <v>22</v>
      </c>
      <c r="B7" s="3" t="s">
        <v>23</v>
      </c>
      <c r="C7" s="3">
        <v>60</v>
      </c>
      <c r="D7" s="4">
        <v>129.9</v>
      </c>
      <c r="E7" s="4">
        <v>48</v>
      </c>
      <c r="F7" s="4">
        <f t="shared" si="0"/>
        <v>7794</v>
      </c>
      <c r="G7" s="4">
        <f t="shared" si="1"/>
        <v>2880</v>
      </c>
      <c r="H7" s="4">
        <f t="shared" si="2"/>
        <v>4914</v>
      </c>
      <c r="I7" s="5">
        <f t="shared" si="3"/>
        <v>0.63048498845265588</v>
      </c>
      <c r="J7" s="3">
        <v>22</v>
      </c>
      <c r="K7" s="6">
        <f t="shared" si="4"/>
        <v>11</v>
      </c>
      <c r="L7" s="7" t="s">
        <v>15</v>
      </c>
    </row>
    <row r="8" spans="1:12" x14ac:dyDescent="0.3">
      <c r="A8" s="8" t="s">
        <v>24</v>
      </c>
      <c r="B8" s="8" t="s">
        <v>25</v>
      </c>
      <c r="C8" s="8">
        <v>38</v>
      </c>
      <c r="D8" s="9">
        <v>149.9</v>
      </c>
      <c r="E8" s="9">
        <v>62</v>
      </c>
      <c r="F8" s="9">
        <f t="shared" si="0"/>
        <v>5696.2</v>
      </c>
      <c r="G8" s="9">
        <f t="shared" si="1"/>
        <v>2356</v>
      </c>
      <c r="H8" s="9">
        <f t="shared" si="2"/>
        <v>3340.2</v>
      </c>
      <c r="I8" s="10">
        <f t="shared" si="3"/>
        <v>0.58639092728485653</v>
      </c>
      <c r="J8" s="8">
        <v>20</v>
      </c>
      <c r="K8" s="11">
        <f t="shared" si="4"/>
        <v>15.8</v>
      </c>
      <c r="L8" s="12" t="s">
        <v>21</v>
      </c>
    </row>
    <row r="9" spans="1:12" x14ac:dyDescent="0.3">
      <c r="A9" s="3" t="s">
        <v>26</v>
      </c>
      <c r="B9" s="3" t="s">
        <v>27</v>
      </c>
      <c r="C9" s="3">
        <v>28</v>
      </c>
      <c r="D9" s="4">
        <v>89.9</v>
      </c>
      <c r="E9" s="4">
        <v>32</v>
      </c>
      <c r="F9" s="4">
        <f t="shared" si="0"/>
        <v>2517.2000000000003</v>
      </c>
      <c r="G9" s="4">
        <f t="shared" si="1"/>
        <v>896</v>
      </c>
      <c r="H9" s="4">
        <f t="shared" si="2"/>
        <v>1621.2000000000003</v>
      </c>
      <c r="I9" s="5">
        <f t="shared" si="3"/>
        <v>0.64404894327030038</v>
      </c>
      <c r="J9" s="3">
        <v>28</v>
      </c>
      <c r="K9" s="6">
        <f t="shared" si="4"/>
        <v>30</v>
      </c>
      <c r="L9" s="13" t="s">
        <v>28</v>
      </c>
    </row>
    <row r="10" spans="1:12" x14ac:dyDescent="0.3">
      <c r="A10" s="8" t="s">
        <v>29</v>
      </c>
      <c r="B10" s="8" t="s">
        <v>30</v>
      </c>
      <c r="C10" s="8">
        <v>14</v>
      </c>
      <c r="D10" s="9">
        <v>99.9</v>
      </c>
      <c r="E10" s="9">
        <v>38</v>
      </c>
      <c r="F10" s="9">
        <f t="shared" si="0"/>
        <v>1398.6000000000001</v>
      </c>
      <c r="G10" s="9">
        <f t="shared" si="1"/>
        <v>532</v>
      </c>
      <c r="H10" s="9">
        <f t="shared" si="2"/>
        <v>866.60000000000014</v>
      </c>
      <c r="I10" s="10">
        <f t="shared" si="3"/>
        <v>0.61961961961961964</v>
      </c>
      <c r="J10" s="8">
        <v>18</v>
      </c>
      <c r="K10" s="11">
        <f t="shared" si="4"/>
        <v>38.6</v>
      </c>
      <c r="L10" s="14" t="s">
        <v>31</v>
      </c>
    </row>
    <row r="11" spans="1:12" x14ac:dyDescent="0.3">
      <c r="A11" s="15" t="s">
        <v>32</v>
      </c>
      <c r="B11" s="15"/>
      <c r="C11" s="15"/>
      <c r="D11" s="15"/>
      <c r="E11" s="15"/>
      <c r="F11" s="16">
        <f>SUM(F3:F10)</f>
        <v>41243.699999999997</v>
      </c>
      <c r="G11" s="16">
        <f>SUM(G3:G10)</f>
        <v>14546.5</v>
      </c>
      <c r="H11" s="16">
        <f>SUM(H3:H10)</f>
        <v>26697.200000000001</v>
      </c>
      <c r="I11" s="17">
        <f t="shared" si="3"/>
        <v>0.64730370941501369</v>
      </c>
      <c r="J11" s="15"/>
      <c r="K11" s="15"/>
      <c r="L11" s="15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zoomScaleNormal="100" workbookViewId="0">
      <selection sqref="A1:K1"/>
    </sheetView>
  </sheetViews>
  <sheetFormatPr defaultColWidth="8.6640625" defaultRowHeight="14.4" x14ac:dyDescent="0.3"/>
  <cols>
    <col min="1" max="1" width="10" customWidth="1"/>
    <col min="2" max="2" width="13.44140625" customWidth="1"/>
    <col min="3" max="5" width="15" customWidth="1"/>
    <col min="6" max="7" width="12" customWidth="1"/>
    <col min="8" max="8" width="15" customWidth="1"/>
    <col min="9" max="9" width="17.21875" customWidth="1"/>
    <col min="10" max="10" width="22.21875" customWidth="1"/>
    <col min="11" max="11" width="13" customWidth="1"/>
  </cols>
  <sheetData>
    <row r="1" spans="1:11" ht="21.75" customHeight="1" x14ac:dyDescent="0.3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3">
      <c r="A2" s="2" t="s">
        <v>34</v>
      </c>
      <c r="B2" s="2" t="s">
        <v>35</v>
      </c>
      <c r="C2" s="2" t="s">
        <v>6</v>
      </c>
      <c r="D2" s="2" t="s">
        <v>36</v>
      </c>
      <c r="E2" s="2" t="s">
        <v>8</v>
      </c>
      <c r="F2" s="2" t="s">
        <v>9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</row>
    <row r="3" spans="1:11" x14ac:dyDescent="0.3">
      <c r="A3" s="3" t="s">
        <v>42</v>
      </c>
      <c r="B3" s="3">
        <v>1</v>
      </c>
      <c r="C3" s="4">
        <v>22400</v>
      </c>
      <c r="D3" s="4">
        <v>8500</v>
      </c>
      <c r="E3" s="4">
        <f t="shared" ref="E3:E12" si="0">C3-D3</f>
        <v>13900</v>
      </c>
      <c r="F3" s="5">
        <f t="shared" ref="F3:F12" si="1">E3/C3</f>
        <v>0.6205357142857143</v>
      </c>
      <c r="G3" s="4">
        <v>1100</v>
      </c>
      <c r="H3" s="4">
        <f t="shared" ref="H3:H12" si="2">C3-G3</f>
        <v>21300</v>
      </c>
      <c r="I3" s="3">
        <v>87</v>
      </c>
      <c r="J3" s="3">
        <v>34</v>
      </c>
      <c r="K3" s="5">
        <f t="shared" ref="K3:K12" si="3">J3/(I3+J3)</f>
        <v>0.28099173553719009</v>
      </c>
    </row>
    <row r="4" spans="1:11" x14ac:dyDescent="0.3">
      <c r="A4" s="8" t="s">
        <v>43</v>
      </c>
      <c r="B4" s="8">
        <v>2</v>
      </c>
      <c r="C4" s="9">
        <v>19800</v>
      </c>
      <c r="D4" s="9">
        <v>7500</v>
      </c>
      <c r="E4" s="9">
        <f t="shared" si="0"/>
        <v>12300</v>
      </c>
      <c r="F4" s="10">
        <f t="shared" si="1"/>
        <v>0.62121212121212122</v>
      </c>
      <c r="G4" s="9">
        <v>980</v>
      </c>
      <c r="H4" s="9">
        <f t="shared" si="2"/>
        <v>18820</v>
      </c>
      <c r="I4" s="8">
        <v>72</v>
      </c>
      <c r="J4" s="8">
        <v>41</v>
      </c>
      <c r="K4" s="10">
        <f t="shared" si="3"/>
        <v>0.36283185840707965</v>
      </c>
    </row>
    <row r="5" spans="1:11" x14ac:dyDescent="0.3">
      <c r="A5" s="3" t="s">
        <v>44</v>
      </c>
      <c r="B5" s="3">
        <v>3</v>
      </c>
      <c r="C5" s="4">
        <v>25100</v>
      </c>
      <c r="D5" s="4">
        <v>9500</v>
      </c>
      <c r="E5" s="4">
        <f t="shared" si="0"/>
        <v>15600</v>
      </c>
      <c r="F5" s="5">
        <f t="shared" si="1"/>
        <v>0.62151394422310757</v>
      </c>
      <c r="G5" s="4">
        <v>1240</v>
      </c>
      <c r="H5" s="4">
        <f t="shared" si="2"/>
        <v>23860</v>
      </c>
      <c r="I5" s="3">
        <v>98</v>
      </c>
      <c r="J5" s="3">
        <v>48</v>
      </c>
      <c r="K5" s="5">
        <f t="shared" si="3"/>
        <v>0.32876712328767121</v>
      </c>
    </row>
    <row r="6" spans="1:11" x14ac:dyDescent="0.3">
      <c r="A6" s="8" t="s">
        <v>45</v>
      </c>
      <c r="B6" s="8">
        <v>4</v>
      </c>
      <c r="C6" s="9">
        <v>28600</v>
      </c>
      <c r="D6" s="9">
        <v>10800</v>
      </c>
      <c r="E6" s="9">
        <f t="shared" si="0"/>
        <v>17800</v>
      </c>
      <c r="F6" s="10">
        <f t="shared" si="1"/>
        <v>0.6223776223776224</v>
      </c>
      <c r="G6" s="9">
        <v>1380</v>
      </c>
      <c r="H6" s="9">
        <f t="shared" si="2"/>
        <v>27220</v>
      </c>
      <c r="I6" s="8">
        <v>112</v>
      </c>
      <c r="J6" s="8">
        <v>55</v>
      </c>
      <c r="K6" s="10">
        <f t="shared" si="3"/>
        <v>0.32934131736526945</v>
      </c>
    </row>
    <row r="7" spans="1:11" x14ac:dyDescent="0.3">
      <c r="A7" s="3" t="s">
        <v>46</v>
      </c>
      <c r="B7" s="3">
        <v>5</v>
      </c>
      <c r="C7" s="4">
        <v>31200</v>
      </c>
      <c r="D7" s="4">
        <v>11800</v>
      </c>
      <c r="E7" s="4">
        <f t="shared" si="0"/>
        <v>19400</v>
      </c>
      <c r="F7" s="5">
        <f t="shared" si="1"/>
        <v>0.62179487179487181</v>
      </c>
      <c r="G7" s="4">
        <v>1520</v>
      </c>
      <c r="H7" s="4">
        <f t="shared" si="2"/>
        <v>29680</v>
      </c>
      <c r="I7" s="3">
        <v>124</v>
      </c>
      <c r="J7" s="3">
        <v>63</v>
      </c>
      <c r="K7" s="5">
        <f t="shared" si="3"/>
        <v>0.33689839572192515</v>
      </c>
    </row>
    <row r="8" spans="1:11" x14ac:dyDescent="0.3">
      <c r="A8" s="8" t="s">
        <v>47</v>
      </c>
      <c r="B8" s="8">
        <v>6</v>
      </c>
      <c r="C8" s="9">
        <v>26800</v>
      </c>
      <c r="D8" s="9">
        <v>10100</v>
      </c>
      <c r="E8" s="9">
        <f t="shared" si="0"/>
        <v>16700</v>
      </c>
      <c r="F8" s="10">
        <f t="shared" si="1"/>
        <v>0.62313432835820892</v>
      </c>
      <c r="G8" s="9">
        <v>1290</v>
      </c>
      <c r="H8" s="9">
        <f t="shared" si="2"/>
        <v>25510</v>
      </c>
      <c r="I8" s="8">
        <v>103</v>
      </c>
      <c r="J8" s="8">
        <v>59</v>
      </c>
      <c r="K8" s="10">
        <f t="shared" si="3"/>
        <v>0.36419753086419754</v>
      </c>
    </row>
    <row r="9" spans="1:11" x14ac:dyDescent="0.3">
      <c r="A9" s="3" t="s">
        <v>48</v>
      </c>
      <c r="B9" s="3">
        <v>7</v>
      </c>
      <c r="C9" s="4">
        <v>33400</v>
      </c>
      <c r="D9" s="4">
        <v>12600</v>
      </c>
      <c r="E9" s="4">
        <f t="shared" si="0"/>
        <v>20800</v>
      </c>
      <c r="F9" s="5">
        <f t="shared" si="1"/>
        <v>0.6227544910179641</v>
      </c>
      <c r="G9" s="4">
        <v>1610</v>
      </c>
      <c r="H9" s="4">
        <f t="shared" si="2"/>
        <v>31790</v>
      </c>
      <c r="I9" s="3">
        <v>138</v>
      </c>
      <c r="J9" s="3">
        <v>71</v>
      </c>
      <c r="K9" s="5">
        <f t="shared" si="3"/>
        <v>0.33971291866028708</v>
      </c>
    </row>
    <row r="10" spans="1:11" x14ac:dyDescent="0.3">
      <c r="A10" s="8" t="s">
        <v>49</v>
      </c>
      <c r="B10" s="8">
        <v>8</v>
      </c>
      <c r="C10" s="9">
        <v>35100</v>
      </c>
      <c r="D10" s="9">
        <v>13300</v>
      </c>
      <c r="E10" s="9">
        <f t="shared" si="0"/>
        <v>21800</v>
      </c>
      <c r="F10" s="10">
        <f t="shared" si="1"/>
        <v>0.62108262108262113</v>
      </c>
      <c r="G10" s="9">
        <v>1690</v>
      </c>
      <c r="H10" s="9">
        <f t="shared" si="2"/>
        <v>33410</v>
      </c>
      <c r="I10" s="8">
        <v>145</v>
      </c>
      <c r="J10" s="8">
        <v>78</v>
      </c>
      <c r="K10" s="10">
        <f t="shared" si="3"/>
        <v>0.34977578475336324</v>
      </c>
    </row>
    <row r="11" spans="1:11" x14ac:dyDescent="0.3">
      <c r="A11" s="3" t="s">
        <v>50</v>
      </c>
      <c r="B11" s="3">
        <v>9</v>
      </c>
      <c r="C11" s="4">
        <v>37800</v>
      </c>
      <c r="D11" s="4">
        <v>14300</v>
      </c>
      <c r="E11" s="4">
        <f t="shared" si="0"/>
        <v>23500</v>
      </c>
      <c r="F11" s="5">
        <f t="shared" si="1"/>
        <v>0.62169312169312174</v>
      </c>
      <c r="G11" s="4">
        <v>1820</v>
      </c>
      <c r="H11" s="4">
        <f t="shared" si="2"/>
        <v>35980</v>
      </c>
      <c r="I11" s="3">
        <v>158</v>
      </c>
      <c r="J11" s="3">
        <v>84</v>
      </c>
      <c r="K11" s="5">
        <f t="shared" si="3"/>
        <v>0.34710743801652894</v>
      </c>
    </row>
    <row r="12" spans="1:11" x14ac:dyDescent="0.3">
      <c r="A12" s="8" t="s">
        <v>51</v>
      </c>
      <c r="B12" s="8">
        <v>10</v>
      </c>
      <c r="C12" s="9">
        <v>41200</v>
      </c>
      <c r="D12" s="9">
        <v>15600</v>
      </c>
      <c r="E12" s="9">
        <f t="shared" si="0"/>
        <v>25600</v>
      </c>
      <c r="F12" s="10">
        <f t="shared" si="1"/>
        <v>0.62135922330097082</v>
      </c>
      <c r="G12" s="9">
        <v>1980</v>
      </c>
      <c r="H12" s="9">
        <f t="shared" si="2"/>
        <v>39220</v>
      </c>
      <c r="I12" s="8">
        <v>171</v>
      </c>
      <c r="J12" s="8">
        <v>92</v>
      </c>
      <c r="K12" s="10">
        <f t="shared" si="3"/>
        <v>0.34980988593155893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Normal="100" workbookViewId="0">
      <selection sqref="A1:G1"/>
    </sheetView>
  </sheetViews>
  <sheetFormatPr defaultColWidth="8.6640625" defaultRowHeight="14.4" x14ac:dyDescent="0.3"/>
  <cols>
    <col min="1" max="1" width="22" customWidth="1"/>
    <col min="2" max="2" width="18" customWidth="1"/>
    <col min="3" max="3" width="14" customWidth="1"/>
    <col min="4" max="4" width="15" customWidth="1"/>
    <col min="5" max="6" width="13" customWidth="1"/>
    <col min="7" max="7" width="14" customWidth="1"/>
  </cols>
  <sheetData>
    <row r="1" spans="1:7" ht="21.75" customHeight="1" x14ac:dyDescent="0.3">
      <c r="A1" s="1" t="s">
        <v>52</v>
      </c>
      <c r="B1" s="1"/>
      <c r="C1" s="1"/>
      <c r="D1" s="1"/>
      <c r="E1" s="1"/>
      <c r="F1" s="1"/>
      <c r="G1" s="1"/>
    </row>
    <row r="2" spans="1:7" ht="30" customHeight="1" x14ac:dyDescent="0.3">
      <c r="A2" s="2" t="s">
        <v>1</v>
      </c>
      <c r="B2" s="2" t="s">
        <v>53</v>
      </c>
      <c r="C2" s="2" t="s">
        <v>10</v>
      </c>
      <c r="D2" s="2" t="s">
        <v>11</v>
      </c>
      <c r="E2" s="2" t="s">
        <v>54</v>
      </c>
      <c r="F2" s="2" t="s">
        <v>9</v>
      </c>
      <c r="G2" s="2" t="s">
        <v>55</v>
      </c>
    </row>
    <row r="3" spans="1:7" x14ac:dyDescent="0.3">
      <c r="A3" s="3" t="s">
        <v>16</v>
      </c>
      <c r="B3" s="3">
        <v>120</v>
      </c>
      <c r="C3" s="3">
        <v>95</v>
      </c>
      <c r="D3" s="18">
        <f t="shared" ref="D3:D10" si="0">ROUND(C3/B3*30,1)</f>
        <v>23.8</v>
      </c>
      <c r="E3" s="18">
        <f t="shared" ref="E3:E10" si="1">ROUND(B3/C3,1)</f>
        <v>1.3</v>
      </c>
      <c r="F3" s="5">
        <v>0.77443609022556403</v>
      </c>
      <c r="G3" s="12" t="s">
        <v>56</v>
      </c>
    </row>
    <row r="4" spans="1:7" x14ac:dyDescent="0.3">
      <c r="A4" s="8" t="s">
        <v>13</v>
      </c>
      <c r="B4" s="8">
        <v>95</v>
      </c>
      <c r="C4" s="8">
        <v>55</v>
      </c>
      <c r="D4" s="19">
        <f t="shared" si="0"/>
        <v>17.399999999999999</v>
      </c>
      <c r="E4" s="19">
        <f t="shared" si="1"/>
        <v>1.7</v>
      </c>
      <c r="F4" s="10">
        <v>0.69115191986644398</v>
      </c>
      <c r="G4" s="7" t="s">
        <v>28</v>
      </c>
    </row>
    <row r="5" spans="1:7" x14ac:dyDescent="0.3">
      <c r="A5" s="3" t="s">
        <v>18</v>
      </c>
      <c r="B5" s="3">
        <v>65</v>
      </c>
      <c r="C5" s="3">
        <v>38</v>
      </c>
      <c r="D5" s="18">
        <f t="shared" si="0"/>
        <v>17.5</v>
      </c>
      <c r="E5" s="18">
        <f t="shared" si="1"/>
        <v>1.7</v>
      </c>
      <c r="F5" s="5">
        <v>0.64956195244055104</v>
      </c>
      <c r="G5" s="7" t="s">
        <v>28</v>
      </c>
    </row>
    <row r="6" spans="1:7" x14ac:dyDescent="0.3">
      <c r="A6" s="8" t="s">
        <v>22</v>
      </c>
      <c r="B6" s="8">
        <v>60</v>
      </c>
      <c r="C6" s="8">
        <v>22</v>
      </c>
      <c r="D6" s="19">
        <f t="shared" si="0"/>
        <v>11</v>
      </c>
      <c r="E6" s="19">
        <f t="shared" si="1"/>
        <v>2.7</v>
      </c>
      <c r="F6" s="10">
        <v>0.63048498845265599</v>
      </c>
      <c r="G6" s="20" t="s">
        <v>57</v>
      </c>
    </row>
    <row r="7" spans="1:7" x14ac:dyDescent="0.3">
      <c r="A7" s="3" t="s">
        <v>19</v>
      </c>
      <c r="B7" s="3">
        <v>43</v>
      </c>
      <c r="C7" s="3">
        <v>35</v>
      </c>
      <c r="D7" s="18">
        <f t="shared" si="0"/>
        <v>24.4</v>
      </c>
      <c r="E7" s="18">
        <f t="shared" si="1"/>
        <v>1.2</v>
      </c>
      <c r="F7" s="5">
        <v>0.60505529225908405</v>
      </c>
      <c r="G7" s="20" t="s">
        <v>57</v>
      </c>
    </row>
    <row r="8" spans="1:7" x14ac:dyDescent="0.3">
      <c r="A8" s="8" t="s">
        <v>24</v>
      </c>
      <c r="B8" s="8">
        <v>38</v>
      </c>
      <c r="C8" s="8">
        <v>20</v>
      </c>
      <c r="D8" s="19">
        <f t="shared" si="0"/>
        <v>15.8</v>
      </c>
      <c r="E8" s="19">
        <f t="shared" si="1"/>
        <v>1.9</v>
      </c>
      <c r="F8" s="10">
        <v>0.58639092728485698</v>
      </c>
      <c r="G8" s="20" t="s">
        <v>57</v>
      </c>
    </row>
    <row r="9" spans="1:7" x14ac:dyDescent="0.3">
      <c r="A9" s="3" t="s">
        <v>26</v>
      </c>
      <c r="B9" s="3">
        <v>28</v>
      </c>
      <c r="C9" s="3">
        <v>28</v>
      </c>
      <c r="D9" s="18">
        <f t="shared" si="0"/>
        <v>30</v>
      </c>
      <c r="E9" s="18">
        <f t="shared" si="1"/>
        <v>1</v>
      </c>
      <c r="F9" s="5">
        <v>0.64404894327030004</v>
      </c>
      <c r="G9" s="7" t="s">
        <v>28</v>
      </c>
    </row>
    <row r="10" spans="1:7" x14ac:dyDescent="0.3">
      <c r="A10" s="8" t="s">
        <v>29</v>
      </c>
      <c r="B10" s="8">
        <v>14</v>
      </c>
      <c r="C10" s="8">
        <v>18</v>
      </c>
      <c r="D10" s="19">
        <f t="shared" si="0"/>
        <v>38.6</v>
      </c>
      <c r="E10" s="19">
        <f t="shared" si="1"/>
        <v>0.8</v>
      </c>
      <c r="F10" s="10">
        <v>0.61961961961961998</v>
      </c>
      <c r="G10" s="12" t="s">
        <v>56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zoomScaleNormal="100" workbookViewId="0">
      <selection sqref="A1:B1"/>
    </sheetView>
  </sheetViews>
  <sheetFormatPr defaultColWidth="8.6640625" defaultRowHeight="14.4" x14ac:dyDescent="0.3"/>
  <cols>
    <col min="1" max="1" width="24" customWidth="1"/>
    <col min="2" max="2" width="82" customWidth="1"/>
  </cols>
  <sheetData>
    <row r="1" spans="1:2" ht="21.75" customHeight="1" x14ac:dyDescent="0.3">
      <c r="A1" s="1" t="s">
        <v>58</v>
      </c>
      <c r="B1" s="1"/>
    </row>
    <row r="2" spans="1:2" ht="30" customHeight="1" x14ac:dyDescent="0.3">
      <c r="A2" s="21" t="s">
        <v>59</v>
      </c>
      <c r="B2" s="21" t="s">
        <v>60</v>
      </c>
    </row>
    <row r="3" spans="1:2" ht="79.5" customHeight="1" x14ac:dyDescent="0.3">
      <c r="A3" s="22" t="s">
        <v>61</v>
      </c>
      <c r="B3" s="23" t="s">
        <v>62</v>
      </c>
    </row>
    <row r="4" spans="1:2" ht="79.5" customHeight="1" x14ac:dyDescent="0.3">
      <c r="A4" s="24" t="s">
        <v>63</v>
      </c>
      <c r="B4" s="25" t="s">
        <v>64</v>
      </c>
    </row>
    <row r="5" spans="1:2" ht="79.5" customHeight="1" x14ac:dyDescent="0.3">
      <c r="A5" s="22" t="s">
        <v>65</v>
      </c>
      <c r="B5" s="23" t="s">
        <v>66</v>
      </c>
    </row>
    <row r="6" spans="1:2" ht="79.5" customHeight="1" x14ac:dyDescent="0.3">
      <c r="A6" s="24" t="s">
        <v>67</v>
      </c>
      <c r="B6" s="25" t="s">
        <v>68</v>
      </c>
    </row>
    <row r="7" spans="1:2" ht="79.5" customHeight="1" x14ac:dyDescent="0.3">
      <c r="A7" s="22" t="s">
        <v>69</v>
      </c>
      <c r="B7" s="23" t="s">
        <v>70</v>
      </c>
    </row>
    <row r="8" spans="1:2" ht="79.5" customHeight="1" x14ac:dyDescent="0.3">
      <c r="A8" s="24" t="s">
        <v>71</v>
      </c>
      <c r="B8" s="25" t="s">
        <v>72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DADOS_PRODUTOS</vt:lpstr>
      <vt:lpstr>HISTORICO_MENSAL</vt:lpstr>
      <vt:lpstr>ANALISE_ESTOQUE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Araújo Lucas</cp:lastModifiedBy>
  <cp:revision>0</cp:revision>
  <dcterms:created xsi:type="dcterms:W3CDTF">2026-05-21T00:14:24Z</dcterms:created>
  <dcterms:modified xsi:type="dcterms:W3CDTF">2026-05-22T02:46:53Z</dcterms:modified>
  <dc:language>en-US</dc:language>
</cp:coreProperties>
</file>